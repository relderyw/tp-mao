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/>
  <mc:AlternateContent xmlns:mc="http://schemas.openxmlformats.org/markup-compatibility/2006">
    <mc:Choice Requires="x15">
      <x15ac:absPath xmlns:x15ac="http://schemas.microsoft.com/office/spreadsheetml/2010/11/ac" url="W:\PYTHON\T&amp;P\"/>
    </mc:Choice>
  </mc:AlternateContent>
  <xr:revisionPtr revIDLastSave="0" documentId="13_ncr:1_{4A04F559-CD6B-47B2-82A8-372192A3916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apeamento" sheetId="1" r:id="rId1"/>
    <sheet name="legenda" sheetId="5" state="hidden" r:id="rId2"/>
  </sheets>
  <definedNames>
    <definedName name="\">#REF!</definedName>
    <definedName name="\3">#REF!</definedName>
    <definedName name="\a">#REF!</definedName>
    <definedName name="\b">#REF!</definedName>
    <definedName name="\c">#REF!</definedName>
    <definedName name="\d">#REF!</definedName>
    <definedName name="\f">#REF!</definedName>
    <definedName name="\G">#REF!</definedName>
    <definedName name="\i">#REF!</definedName>
    <definedName name="\m">#N/A</definedName>
    <definedName name="\p">#REF!</definedName>
    <definedName name="\q">#REF!</definedName>
    <definedName name="\QQQWWW">#REF!</definedName>
    <definedName name="\s">#REF!</definedName>
    <definedName name="\w">#REF!</definedName>
    <definedName name="\x">#REF!</definedName>
    <definedName name="\z">#REF!</definedName>
    <definedName name="_______LLL1" hidden="1">{#N/A,#N/A,TRUE,"Relatório"}</definedName>
    <definedName name="_______LLL2" hidden="1">{#N/A,#N/A,TRUE,"Relatório"}</definedName>
    <definedName name="_____LLL1" hidden="1">{#N/A,#N/A,TRUE,"Relatório"}</definedName>
    <definedName name="_____LLL2" hidden="1">{#N/A,#N/A,TRUE,"Relatório"}</definedName>
    <definedName name="_____LLL50" hidden="1">{#N/A,#N/A,TRUE,"Relatório"}</definedName>
    <definedName name="_____MM1" hidden="1">{#N/A,#N/A,TRUE,"Relatório"}</definedName>
    <definedName name="_____OUT3" hidden="1">{#N/A,#N/A,TRUE,"Relatório"}</definedName>
    <definedName name="____LLL1" hidden="1">{#N/A,#N/A,TRUE,"Relatório"}</definedName>
    <definedName name="____LLL2" hidden="1">{#N/A,#N/A,TRUE,"Relatório"}</definedName>
    <definedName name="____LLL50" hidden="1">{#N/A,#N/A,TRUE,"Relatório"}</definedName>
    <definedName name="____MM1" hidden="1">{#N/A,#N/A,TRUE,"Relatório"}</definedName>
    <definedName name="____OUT3" hidden="1">{#N/A,#N/A,TRUE,"Relatório"}</definedName>
    <definedName name="___LLL1" hidden="1">{#N/A,#N/A,TRUE,"Relatório"}</definedName>
    <definedName name="___LLL2" hidden="1">{#N/A,#N/A,TRUE,"Relatório"}</definedName>
    <definedName name="___LLL50" hidden="1">{#N/A,#N/A,TRUE,"Relatório"}</definedName>
    <definedName name="___MM1" hidden="1">{#N/A,#N/A,TRUE,"Relatório"}</definedName>
    <definedName name="___ob1" hidden="1">{#N/A,#N/A,FALSE,"USOUTBOUND"}</definedName>
    <definedName name="___ob2" hidden="1">{#N/A,#N/A,FALSE,"USOUTBOUND"}</definedName>
    <definedName name="___ob3" hidden="1">{#N/A,#N/A,FALSE,"USOUTBOUND"}</definedName>
    <definedName name="___ob6" hidden="1">{#N/A,#N/A,FALSE,"USOUTBOUND"}</definedName>
    <definedName name="___OUT3" hidden="1">{#N/A,#N/A,TRUE,"Relatório"}</definedName>
    <definedName name="___r" hidden="1">{#N/A,#N/A,TRUE,"Relatório"}</definedName>
    <definedName name="__FF450" hidden="1">{#N/A,#N/A,TRUE,"Relatório"}</definedName>
    <definedName name="__LLL1" hidden="1">{#N/A,#N/A,TRUE,"Relatório"}</definedName>
    <definedName name="__LLL2" hidden="1">{#N/A,#N/A,TRUE,"Relatório"}</definedName>
    <definedName name="__LLL50" hidden="1">{#N/A,#N/A,TRUE,"Relatório"}</definedName>
    <definedName name="__MM1" hidden="1">{#N/A,#N/A,TRUE,"Relatório"}</definedName>
    <definedName name="__OUT3" hidden="1">{#N/A,#N/A,TRUE,"Relatório"}</definedName>
    <definedName name="__r" hidden="1">{#N/A,#N/A,TRUE,"Relatório"}</definedName>
    <definedName name="_3710">#REF!</definedName>
    <definedName name="_4__ANDAR">#REF!</definedName>
    <definedName name="_cnh1">#REF!</definedName>
    <definedName name="_FF450" hidden="1">{#N/A,#N/A,TRUE,"Relatório"}</definedName>
    <definedName name="_Fill" hidden="1">#REF!</definedName>
    <definedName name="_xlnm._FilterDatabase" localSheetId="0" hidden="1">Mapeamento!$B$4:$AD$125</definedName>
    <definedName name="_xlnm._FilterDatabase" hidden="1">#REF!</definedName>
    <definedName name="_ID">"II.19 BACEN balancete passivo(5)"</definedName>
    <definedName name="_Key1" hidden="1">#REF!</definedName>
    <definedName name="_Key2" hidden="1">#REF!</definedName>
    <definedName name="_L">#REF!</definedName>
    <definedName name="_LH387">#REF!</definedName>
    <definedName name="_Lin1">8</definedName>
    <definedName name="_Lin2">12</definedName>
    <definedName name="_Lin3">42</definedName>
    <definedName name="_LLL1" hidden="1">{#N/A,#N/A,TRUE,"Relatório"}</definedName>
    <definedName name="_LLL2" hidden="1">{#N/A,#N/A,TRUE,"Relatório"}</definedName>
    <definedName name="_MC50">#N/A</definedName>
    <definedName name="_NCol">7</definedName>
    <definedName name="_new10">#N/A</definedName>
    <definedName name="_new11">#N/A</definedName>
    <definedName name="_new12">#N/A</definedName>
    <definedName name="_new13">#N/A</definedName>
    <definedName name="_new14">#N/A</definedName>
    <definedName name="_new15">#N/A</definedName>
    <definedName name="_new16">#N/A</definedName>
    <definedName name="_new17">#N/A</definedName>
    <definedName name="_new18">#N/A</definedName>
    <definedName name="_new19">#N/A</definedName>
    <definedName name="_new2">#N/A</definedName>
    <definedName name="_new20">#N/A</definedName>
    <definedName name="_new23">#N/A</definedName>
    <definedName name="_new24">#N/A</definedName>
    <definedName name="_new25">#N/A</definedName>
    <definedName name="_new26">#N/A</definedName>
    <definedName name="_new3">#N/A</definedName>
    <definedName name="_new4">#N/A</definedName>
    <definedName name="_new5">#N/A</definedName>
    <definedName name="_new6">#N/A</definedName>
    <definedName name="_new7">#N/A</definedName>
    <definedName name="_new8">#N/A</definedName>
    <definedName name="_new9">#N/A</definedName>
    <definedName name="_ob1" hidden="1">{#N/A,#N/A,FALSE,"USOUTBOUND"}</definedName>
    <definedName name="_ob2" hidden="1">{#N/A,#N/A,FALSE,"USOUTBOUND"}</definedName>
    <definedName name="_ob3" hidden="1">{#N/A,#N/A,FALSE,"USOUTBOUND"}</definedName>
    <definedName name="_ob6" hidden="1">{#N/A,#N/A,FALSE,"USOUTBOUND"}</definedName>
    <definedName name="_Order1" hidden="1">255</definedName>
    <definedName name="_Order2" hidden="1">255</definedName>
    <definedName name="_pl400">#REF!</definedName>
    <definedName name="_QDO1">#REF!</definedName>
    <definedName name="_QDO2">#REF!</definedName>
    <definedName name="_Sort" hidden="1">#REF!</definedName>
    <definedName name="_Tipo">1</definedName>
    <definedName name="a">#REF!</definedName>
    <definedName name="A1_">#REF!</definedName>
    <definedName name="A2_">#REF!</definedName>
    <definedName name="A3_">#REF!</definedName>
    <definedName name="A4_">#REF!</definedName>
    <definedName name="A5_">#REF!</definedName>
    <definedName name="A6_">#REF!</definedName>
    <definedName name="aa">#REF!</definedName>
    <definedName name="aaa">#REF!</definedName>
    <definedName name="aaaa">#REF!</definedName>
    <definedName name="AAAAAAAA" hidden="1">{#N/A,#N/A,TRUE,"Relatório"}</definedName>
    <definedName name="AAAAAAAAAAAAAA" hidden="1">{#N/A,#N/A,TRUE,"Relatório"}</definedName>
    <definedName name="AAAAAAAAAAAAAAAAAAAAAA" hidden="1">{#N/A,#N/A,TRUE,"Relatório"}</definedName>
    <definedName name="aacxA">#N/A</definedName>
    <definedName name="aaddf">#REF!</definedName>
    <definedName name="aasa">#N/A</definedName>
    <definedName name="aaSSS">#N/A</definedName>
    <definedName name="ab" hidden="1">{#N/A,#N/A,TRUE,"Relatório"}</definedName>
    <definedName name="abc" hidden="1">{#N/A,#N/A,TRUE,"Relatório"}</definedName>
    <definedName name="abcd" hidden="1">{#N/A,#N/A,TRUE,"Relatório"}</definedName>
    <definedName name="ABR.97">#REF!</definedName>
    <definedName name="AD" hidden="1">{#N/A,#N/A,TRUE,"Relatório"}</definedName>
    <definedName name="ADASDSA" hidden="1">{#N/A,#N/A,TRUE,"Relatório"}</definedName>
    <definedName name="ADM">#REF!</definedName>
    <definedName name="ADMRE">#REF!</definedName>
    <definedName name="adsdadsasd">#REF!</definedName>
    <definedName name="AGO.97">#REF!</definedName>
    <definedName name="AGOSTO" hidden="1">{#N/A,#N/A,TRUE,"Relatório"}</definedName>
    <definedName name="ai" hidden="1">{#N/A,#N/A,TRUE,"Relatório"}</definedName>
    <definedName name="akklaka">#N/A</definedName>
    <definedName name="AMOR" hidden="1">{#N/A,#N/A,TRUE,"Relatório"}</definedName>
    <definedName name="ar" hidden="1">{#N/A,#N/A,TRUE,"Relatório"}</definedName>
    <definedName name="ara">#REF!</definedName>
    <definedName name="AREA_DE_IMPRESI">#REF!</definedName>
    <definedName name="_xlnm.Print_Area">#REF!</definedName>
    <definedName name="Área_impressão_IM">#REF!</definedName>
    <definedName name="as">#REF!</definedName>
    <definedName name="ASD" hidden="1">{#N/A,#N/A,TRUE,"Relatório"}</definedName>
    <definedName name="asdda">#N/A</definedName>
    <definedName name="ASDDD" hidden="1">{#N/A,#N/A,TRUE,"Relatório"}</definedName>
    <definedName name="ASDFF" hidden="1">{#N/A,#N/A,TRUE,"Relatório"}</definedName>
    <definedName name="asdrf" hidden="1">{#N/A,#N/A,TRUE,"Relatório"}</definedName>
    <definedName name="ASE" hidden="1">{#N/A,#N/A,TRUE,"Relatório"}</definedName>
    <definedName name="assdfdsddf">#N/A</definedName>
    <definedName name="asssaasa">#N/A</definedName>
    <definedName name="ate" hidden="1">{#N/A,#N/A,TRUE,"Relatório"}</definedName>
    <definedName name="ATRASO">#REF!</definedName>
    <definedName name="AVAL">#REF!</definedName>
    <definedName name="b">#REF!</definedName>
    <definedName name="B1_">#REF!</definedName>
    <definedName name="BAI" hidden="1">{#N/A,#N/A,TRUE,"Relatório"}</definedName>
    <definedName name="balsoc">#REF!</definedName>
    <definedName name="Banco">#REF!</definedName>
    <definedName name="_xlnm.Database">#REF!</definedName>
    <definedName name="banco1">#REF!</definedName>
    <definedName name="BancoeLeas">#REF!</definedName>
    <definedName name="bb">#REF!</definedName>
    <definedName name="bbb">#REF!</definedName>
    <definedName name="BD">#REF!</definedName>
    <definedName name="bn" hidden="1">{#N/A,#N/A,TRUE,"Relatório"}</definedName>
    <definedName name="BuiltIn_AutoFilter___3">#REF!</definedName>
    <definedName name="BUNSEKI">#REF!</definedName>
    <definedName name="ç" hidden="1">{#N/A,#N/A,TRUE,"Relatório"}</definedName>
    <definedName name="CACHORRO" hidden="1">{#N/A,#N/A,TRUE,"Relatório"}</definedName>
    <definedName name="calco">#REF!</definedName>
    <definedName name="calel">#REF!</definedName>
    <definedName name="calest">#REF!</definedName>
    <definedName name="calpo">#REF!</definedName>
    <definedName name="calttk">#REF!</definedName>
    <definedName name="caminhão">#REF!</definedName>
    <definedName name="CargosHonda">#REF!</definedName>
    <definedName name="cc">#REF!</definedName>
    <definedName name="ccc">#REF!</definedName>
    <definedName name="CDS" hidden="1">{#N/A,#N/A,TRUE,"Relatório"}</definedName>
    <definedName name="centxdol">#REF!</definedName>
    <definedName name="CNH">#REF!</definedName>
    <definedName name="COMPARA_FIT_SADX_Tabela_de_referência_cruzada">#REF!</definedName>
    <definedName name="CONHECIMENTO">#REF!</definedName>
    <definedName name="CONSOL">#REF!</definedName>
    <definedName name="consolidado1">#REF!</definedName>
    <definedName name="cont" hidden="1">{#N/A,#N/A,TRUE,"Relatório"}</definedName>
    <definedName name="CONT.IIIIIIIIIIIIII" hidden="1">{#N/A,#N/A,TRUE,"Relatório"}</definedName>
    <definedName name="CONTA101">#REF!</definedName>
    <definedName name="CONTA29">#REF!</definedName>
    <definedName name="CONTA32">#REF!</definedName>
    <definedName name="conto" hidden="1">{#N/A,#N/A,TRUE,"Relatório"}</definedName>
    <definedName name="CONTRATO">#REF!</definedName>
    <definedName name="controleiiiii" hidden="1">{#N/A,#N/A,TRUE,"Relatório"}</definedName>
    <definedName name="CONTROLER" hidden="1">{#N/A,#N/A,TRUE,"Relatório"}</definedName>
    <definedName name="controlerii" hidden="1">{#N/A,#N/A,TRUE,"Relatório"}</definedName>
    <definedName name="controleriii" hidden="1">{#N/A,#N/A,TRUE,"Relatório"}</definedName>
    <definedName name="controleriiii" hidden="1">{#N/A,#N/A,TRUE,"Relatório"}</definedName>
    <definedName name="controleriiiii" hidden="1">{#N/A,#N/A,TRUE,"Relatório"}</definedName>
    <definedName name="controleriiiiii" hidden="1">{#N/A,#N/A,TRUE,"Relatório"}</definedName>
    <definedName name="controleriiiiiii" hidden="1">{#N/A,#N/A,TRUE,"Relatório"}</definedName>
    <definedName name="controleriiiiiiii" hidden="1">{#N/A,#N/A,TRUE,"Relatório"}</definedName>
    <definedName name="CONTROLERIIIIIIIIIIII" hidden="1">{#N/A,#N/A,TRUE,"Relatório"}</definedName>
    <definedName name="CONTROLERIIIIIIIIIIIIII" hidden="1">{#N/A,#N/A,TRUE,"Relatório"}</definedName>
    <definedName name="controleriiiiiiiiiiiiiiiiiii" hidden="1">{#N/A,#N/A,TRUE,"Relatório"}</definedName>
    <definedName name="controleriiiiiiiiiiiiiiiiiiiiiiii" hidden="1">{#N/A,#N/A,TRUE,"Relatório"}</definedName>
    <definedName name="controleriiiiiiiiiiiiiiiiiiiiiiiiiiiiiiiiiiiiiiiiiiiiiiiiiii" hidden="1">{#N/A,#N/A,TRUE,"Relatório"}</definedName>
    <definedName name="CONTROLERIIIIIIIIIIIIIIIIIIIIIIIIIIIIIIIIIIIIIIIIIIIIIIIIIIIIIIIIIIIIIIIIIIII" hidden="1">{#N/A,#N/A,TRUE,"Relatório"}</definedName>
    <definedName name="CORRET">#REF!</definedName>
    <definedName name="COST1">#REF!</definedName>
    <definedName name="COST2">#REF!</definedName>
    <definedName name="CPDF">#REF!</definedName>
    <definedName name="CRED_BANCO">#REF!</definedName>
    <definedName name="cris">#REF!</definedName>
    <definedName name="cristina">#REF!</definedName>
    <definedName name="CROO">#REF!</definedName>
    <definedName name="CVB" hidden="1">{#N/A,#N/A,TRUE,"Relatório"}</definedName>
    <definedName name="CZ">#REF!</definedName>
    <definedName name="d">#REF!</definedName>
    <definedName name="dadosfev">#REF!</definedName>
    <definedName name="dasss">#N/A</definedName>
    <definedName name="DATA_CONHEC">#REF!</definedName>
    <definedName name="DataAjuste">#REF!</definedName>
    <definedName name="dd">#REF!</definedName>
    <definedName name="ddd">#REF!</definedName>
    <definedName name="DDDD">#N/A</definedName>
    <definedName name="ddddd">#N/A</definedName>
    <definedName name="dDDFBFAVGq">#N/A</definedName>
    <definedName name="ddgweww">#N/A</definedName>
    <definedName name="deane" hidden="1">{#N/A,#N/A,TRUE,"Relatório"}</definedName>
    <definedName name="DEPTO">#REF!</definedName>
    <definedName name="DESP_BANQ">#REF!</definedName>
    <definedName name="df">#N/A</definedName>
    <definedName name="DFDFZDF" hidden="1">{#N/A,#N/A,TRUE,"Relatório"}</definedName>
    <definedName name="dfgdgd" hidden="1">{#N/A,#N/A,FALSE,"USOUTBOUND"}</definedName>
    <definedName name="DFGH" hidden="1">{#N/A,#N/A,TRUE,"Relatório"}</definedName>
    <definedName name="diaUtil">#REF!</definedName>
    <definedName name="DIC.96">#REF!</definedName>
    <definedName name="DIVS">#REF!</definedName>
    <definedName name="dkfks">#N/A</definedName>
    <definedName name="DS" hidden="1">#REF!</definedName>
    <definedName name="DSA">#REF!</definedName>
    <definedName name="dsae" hidden="1">{#N/A,#N/A,TRUE,"Relatório"}</definedName>
    <definedName name="dvvv" hidden="1">{#N/A,#N/A,TRUE,"Relatório"}</definedName>
    <definedName name="dy">#REF!</definedName>
    <definedName name="e">#REF!</definedName>
    <definedName name="EDC" hidden="1">{#N/A,#N/A,TRUE,"Relatório"}</definedName>
    <definedName name="EDINAMAR">#REF!</definedName>
    <definedName name="EDITMKOASASASASASASAS">#REF!</definedName>
    <definedName name="EEE" hidden="1">{#N/A,#N/A,TRUE,"Relatório"}</definedName>
    <definedName name="Efetivação">#REF!</definedName>
    <definedName name="ENE.97">#REF!</definedName>
    <definedName name="Enquadra1">#REF!</definedName>
    <definedName name="Enquadra2">#REF!</definedName>
    <definedName name="ENV_DOCTO">#REF!</definedName>
    <definedName name="ERT" hidden="1">{#N/A,#N/A,TRUE,"Relatório"}</definedName>
    <definedName name="Estamp." hidden="1">{#N/A,#N/A,TRUE,"Relatório"}</definedName>
    <definedName name="eu" hidden="1">{#N/A,#N/A,TRUE,"Relatório"}</definedName>
    <definedName name="euler" hidden="1">#REF!</definedName>
    <definedName name="Ｆ">#REF!</definedName>
    <definedName name="FATURA">#REF!</definedName>
    <definedName name="fdfdgs">#N/A</definedName>
    <definedName name="fdgfd">#REF!</definedName>
    <definedName name="FEB.97">#REF!</definedName>
    <definedName name="FECHTO">#REF!</definedName>
    <definedName name="FERFRE">#REF!</definedName>
    <definedName name="FES150BD">#REF!</definedName>
    <definedName name="FEV" hidden="1">{#N/A,#N/A,TRUE,"Relatório"}</definedName>
    <definedName name="FEVER" hidden="1">{#N/A,#N/A,TRUE,"Relatório"}</definedName>
    <definedName name="ffgfew">#N/A</definedName>
    <definedName name="FG" hidden="1">{#N/A,#N/A,FALSE,"2001";#N/A,#N/A,FALSE,"2000"}</definedName>
    <definedName name="FGFGFG" hidden="1">{#N/A,#N/A,FALSE,"2001";#N/A,#N/A,FALSE,"2000"}</definedName>
    <definedName name="fggahaha">#N/A</definedName>
    <definedName name="FGH" hidden="1">{#N/A,#N/A,TRUE,"Relatório"}</definedName>
    <definedName name="FHFGX" hidden="1">{#N/A,#N/A,TRUE,"Relatório"}</definedName>
    <definedName name="FIM">#N/A</definedName>
    <definedName name="fkfkfkfl">#N/A</definedName>
    <definedName name="Flha">#N/A</definedName>
    <definedName name="FOB">#REF!</definedName>
    <definedName name="freetime">#REF!</definedName>
    <definedName name="FRETE">#REF!</definedName>
    <definedName name="FRTRAT">#REF!</definedName>
    <definedName name="FSSASA">#N/A</definedName>
    <definedName name="Fx_Rate_3_17">#REF!</definedName>
    <definedName name="G" hidden="1">{#N/A,#N/A,TRUE,"Relatório"}</definedName>
    <definedName name="gahsKJA">#N/A</definedName>
    <definedName name="garf110" hidden="1">{#N/A,#N/A,TRUE,"Relatório"}</definedName>
    <definedName name="gdfaga">#N/A</definedName>
    <definedName name="GERAL">#REF!</definedName>
    <definedName name="GF" hidden="1">{#N/A,#N/A,TRUE,"Relatório"}</definedName>
    <definedName name="gg">#REF!</definedName>
    <definedName name="ggashshs">#N/A</definedName>
    <definedName name="GGGG">#N/A</definedName>
    <definedName name="gh" hidden="1">{#N/A,#N/A,TRUE,"Relatório"}</definedName>
    <definedName name="GRAF0110" hidden="1">{#N/A,#N/A,TRUE,"Relatório"}</definedName>
    <definedName name="Grafico_01">"Gráfico 64"</definedName>
    <definedName name="_xlnm.Recorder">#REF!</definedName>
    <definedName name="grice" hidden="1">{#N/A,#N/A,TRUE,"Relatório"}</definedName>
    <definedName name="H">#REF!</definedName>
    <definedName name="HAHGS">#N/A</definedName>
    <definedName name="hahsgsgsg">#N/A</definedName>
    <definedName name="hanbai1999">#REF!</definedName>
    <definedName name="hanbai2000">#REF!</definedName>
    <definedName name="HBQRH" hidden="1">{#N/A,#N/A,FALSE,"USOUTBOUND"}</definedName>
    <definedName name="hhf" hidden="1">{#N/A,#N/A,TRUE,"Relatório"}</definedName>
    <definedName name="hjjj">#REF!</definedName>
    <definedName name="HQRTHTRH" hidden="1">{#N/A,#N/A,FALSE,"P&amp;L";#N/A,#N/A,FALSE,"Balance Sheet";#N/A,#N/A,FALSE,"Margins";#N/A,#N/A,FALSE,"Overheads";#N/A,#N/A,FALSE,"Headcount";#N/A,#N/A,FALSE,"Investment Income"}</definedName>
    <definedName name="HTBRTRB" hidden="1">{#N/A,#N/A,FALSE,"Actual vs Plan &amp; Forecast";#N/A,#N/A,FALSE,"Year Over Year";#N/A,#N/A,FALSE,"Plan Comp";#N/A,#N/A,FALSE,"Actual vs Prior Mo";#N/A,#N/A,FALSE,"Actual vs Forecast"}</definedName>
    <definedName name="HTRHBTR" hidden="1">{#N/A,#N/A,FALSE,"Total";#N/A,#N/A,FALSE,"Trend";#N/A,#N/A,FALSE,"Other OH";#N/A,#N/A,FALSE,"HP";#N/A,#N/A,FALSE,"Yard Mgmt"}</definedName>
    <definedName name="HTRQAH" hidden="1">{#N/A,#N/A,FALSE,"SumIS-Month";#N/A,#N/A,FALSE,"SumIS-YTD";#N/A,#N/A,FALSE,"13mop&amp;l";#N/A,#N/A,FALSE,"Fin Update";#N/A,#N/A,FALSE,"Lease Margin";#N/A,#N/A,FALSE,"Rental Margin";#N/A,#N/A,FALSE,"RentRev";#N/A,#N/A,FALSE,"RTSMAINT";#N/A,#N/A,FALSE,"run&amp;fixed";#N/A,#N/A,FALSE,"run&amp;fixed by month";#N/A,#N/A,FALSE,"OpsOH";#N/A,#N/A,FALSE,"MaintCosts"}</definedName>
    <definedName name="i" hidden="1">{#N/A,#N/A,TRUE,"Relatório"}</definedName>
    <definedName name="IMPORTADOR">#REF!</definedName>
    <definedName name="INV">#REF!</definedName>
    <definedName name="Invent">#N/A</definedName>
    <definedName name="INVRE">#REF!</definedName>
    <definedName name="j" hidden="1">{#N/A,#N/A,TRUE,"Relatório"}</definedName>
    <definedName name="jan" hidden="1">{#N/A,#N/A,TRUE,"Relatório"}</definedName>
    <definedName name="JANEI" hidden="1">{#N/A,#N/A,TRUE,"Relatório"}</definedName>
    <definedName name="jeff">#REF!</definedName>
    <definedName name="jfh" hidden="1">{#N/A,#N/A,TRUE,"Relatório"}</definedName>
    <definedName name="jgg">#N/A</definedName>
    <definedName name="jhfghgfh" hidden="1">{#N/A,#N/A,TRUE,"Relatório"}</definedName>
    <definedName name="jhfghgfh1" hidden="1">{#N/A,#N/A,TRUE,"Relatório"}</definedName>
    <definedName name="jimenita">#REF!</definedName>
    <definedName name="jj" hidden="1">{#N/A,#N/A,TRUE,"Relatório"}</definedName>
    <definedName name="JJAjsajka">#N/A</definedName>
    <definedName name="jsjsjaja">#N/A</definedName>
    <definedName name="JUL.97">#REF!</definedName>
    <definedName name="JUN" hidden="1">{#N/A,#N/A,TRUE,"Relatório"}</definedName>
    <definedName name="JUN.97">#REF!</definedName>
    <definedName name="JUNHO" hidden="1">{#N/A,#N/A,TRUE,"Relatório"}</definedName>
    <definedName name="k">#REF!</definedName>
    <definedName name="kaskllkslk">#N/A</definedName>
    <definedName name="KGKG">#REF!</definedName>
    <definedName name="kgkgk">#N/A</definedName>
    <definedName name="khhk">#REF!</definedName>
    <definedName name="KK">#REF!</definedName>
    <definedName name="kljkl">#REF!</definedName>
    <definedName name="Leasing">#REF!</definedName>
    <definedName name="LFLFL">#REF!</definedName>
    <definedName name="LIMPAR">#REF!</definedName>
    <definedName name="line">#REF!</definedName>
    <definedName name="LINE0102">#REF!</definedName>
    <definedName name="LINE100ITEM1200">#REF!</definedName>
    <definedName name="LINE100ITEM1250">#REF!</definedName>
    <definedName name="LINE100ITEM300">#REF!</definedName>
    <definedName name="LINE100ITEM600">#REF!</definedName>
    <definedName name="LINE100ITEM650">#REF!</definedName>
    <definedName name="LINE100ITEM900">#REF!</definedName>
    <definedName name="LINE10110ITEM60">#REF!</definedName>
    <definedName name="LINE10110ITEM90">#REF!</definedName>
    <definedName name="LINE10120ITEM90">#REF!</definedName>
    <definedName name="LINE10190ITEM90">#REF!</definedName>
    <definedName name="LINE10200ITEM90">#REF!</definedName>
    <definedName name="LINE10310ITEM90">#REF!</definedName>
    <definedName name="LINE10320ITEM90">#REF!</definedName>
    <definedName name="LINE10370ITEM60">#REF!</definedName>
    <definedName name="LINE10370ITEM90">#REF!</definedName>
    <definedName name="LINE10380ITEM60">#REF!</definedName>
    <definedName name="LINE10380ITEM90">#REF!</definedName>
    <definedName name="LINE10390ITEM90">#REF!</definedName>
    <definedName name="LINE10610ITEM90">#REF!</definedName>
    <definedName name="LINE10620ITEM90">#REF!</definedName>
    <definedName name="LINE10630ITEM90">#REF!</definedName>
    <definedName name="LINE10640ITEM90">#REF!</definedName>
    <definedName name="LINE10650ITEM90">#REF!</definedName>
    <definedName name="LINE10670ITEM90">#REF!</definedName>
    <definedName name="LINE10680ITEM90">#REF!</definedName>
    <definedName name="LINE10690ITEM60">#REF!</definedName>
    <definedName name="LINE10690ITEM90">#REF!</definedName>
    <definedName name="LINE10700ITEM60">#REF!</definedName>
    <definedName name="LINE10700ITEM90">#REF!</definedName>
    <definedName name="LINE10810ITEM90">#REF!</definedName>
    <definedName name="LINE10820ITEM90">#REF!</definedName>
    <definedName name="LINE10830ITEM90">#REF!</definedName>
    <definedName name="LINE10840ITEM90">#REF!</definedName>
    <definedName name="LINE10860ITEM90">#REF!</definedName>
    <definedName name="LINE10890ITEM60">#REF!</definedName>
    <definedName name="LINE10890ITEM90">#REF!</definedName>
    <definedName name="LINE10895ITEM90">#REF!</definedName>
    <definedName name="LINE10900ITEM60">#REF!</definedName>
    <definedName name="LINE10900ITEM90">#REF!</definedName>
    <definedName name="LINE10ITEM100">#REF!</definedName>
    <definedName name="LINE10ITEM1000">#REF!</definedName>
    <definedName name="LINE10ITEM1100">#REF!</definedName>
    <definedName name="LINE10ITEM1200">#REF!</definedName>
    <definedName name="LINE10ITEM1250">#REF!</definedName>
    <definedName name="LINE10ITEM200">#REF!</definedName>
    <definedName name="LINE10ITEM300">#REF!</definedName>
    <definedName name="LINE10ITEM400">#REF!</definedName>
    <definedName name="LINE10ITEM500">#REF!</definedName>
    <definedName name="LINE10ITEM600">#REF!</definedName>
    <definedName name="LINE10ITEM650">#REF!</definedName>
    <definedName name="LINE10ITEM700">#REF!</definedName>
    <definedName name="LINE10ITEM800">#REF!</definedName>
    <definedName name="LINE10ITEM900">#REF!</definedName>
    <definedName name="LINE110ITEM100">#REF!</definedName>
    <definedName name="LINE110ITEM1000">#REF!</definedName>
    <definedName name="LINE110ITEM1100">#REF!</definedName>
    <definedName name="LINE110ITEM1200">#REF!</definedName>
    <definedName name="LINE110ITEM1250">#REF!</definedName>
    <definedName name="LINE110ITEM200">#REF!</definedName>
    <definedName name="LINE110ITEM300">#REF!</definedName>
    <definedName name="LINE110ITEM400">#REF!</definedName>
    <definedName name="LINE110ITEM500">#REF!</definedName>
    <definedName name="LINE110ITEM600">#REF!</definedName>
    <definedName name="LINE110ITEM650">#REF!</definedName>
    <definedName name="LINE110ITEM700">#REF!</definedName>
    <definedName name="LINE110ITEM800">#REF!</definedName>
    <definedName name="LINE110ITEM900">#REF!</definedName>
    <definedName name="LINE120ITEM100">#REF!</definedName>
    <definedName name="LINE120ITEM1000">#REF!</definedName>
    <definedName name="LINE120ITEM1100">#REF!</definedName>
    <definedName name="LINE120ITEM1200">#REF!</definedName>
    <definedName name="LINE120ITEM1250">#REF!</definedName>
    <definedName name="LINE120ITEM200">#REF!</definedName>
    <definedName name="LINE120ITEM300">#REF!</definedName>
    <definedName name="LINE120ITEM400">#REF!</definedName>
    <definedName name="LINE120ITEM500">#REF!</definedName>
    <definedName name="LINE120ITEM600">#REF!</definedName>
    <definedName name="LINE120ITEM650">#REF!</definedName>
    <definedName name="LINE120ITEM700">#REF!</definedName>
    <definedName name="LINE120ITEM800">#REF!</definedName>
    <definedName name="LINE120ITEM900">#REF!</definedName>
    <definedName name="LINE12100ITEM90">#REF!</definedName>
    <definedName name="LINE12200ITEM90">#REF!</definedName>
    <definedName name="LINE12300ITEM90">#REF!</definedName>
    <definedName name="LINE12400ITEM90">#REF!</definedName>
    <definedName name="LINE12500ITEM90">#REF!</definedName>
    <definedName name="LINE12600ITEM90">#REF!</definedName>
    <definedName name="LINE12900ITEM60">#REF!</definedName>
    <definedName name="LINE12900ITEM90">#REF!</definedName>
    <definedName name="LINE130ITEM100">#REF!</definedName>
    <definedName name="LINE130ITEM1000">#REF!</definedName>
    <definedName name="LINE130ITEM1100">#REF!</definedName>
    <definedName name="LINE130ITEM1200">#REF!</definedName>
    <definedName name="LINE130ITEM1250">#REF!</definedName>
    <definedName name="LINE130ITEM200">#REF!</definedName>
    <definedName name="LINE130ITEM300">#REF!</definedName>
    <definedName name="LINE130ITEM400">#REF!</definedName>
    <definedName name="LINE130ITEM500">#REF!</definedName>
    <definedName name="LINE130ITEM600">#REF!</definedName>
    <definedName name="LINE130ITEM650">#REF!</definedName>
    <definedName name="LINE130ITEM700">#REF!</definedName>
    <definedName name="LINE130ITEM800">#REF!</definedName>
    <definedName name="LINE130ITEM900">#REF!</definedName>
    <definedName name="LINE13100ITEM90">#REF!</definedName>
    <definedName name="LINE13200ITEM90">#REF!</definedName>
    <definedName name="LINE13310ITEM90">#REF!</definedName>
    <definedName name="LINE13320ITEM90">#REF!</definedName>
    <definedName name="LINE13330ITEM90">#REF!</definedName>
    <definedName name="LINE13390ITEM90">#REF!</definedName>
    <definedName name="LINE13400ITEM90">#REF!</definedName>
    <definedName name="LINE13500ITEM90">#REF!</definedName>
    <definedName name="LINE13600ITEM90">#REF!</definedName>
    <definedName name="LINE13900ITEM60">#REF!</definedName>
    <definedName name="LINE13900ITEM90">#REF!</definedName>
    <definedName name="LINE140ITEM100">#REF!</definedName>
    <definedName name="LINE140ITEM1000">#REF!</definedName>
    <definedName name="LINE140ITEM1100">#REF!</definedName>
    <definedName name="LINE140ITEM1200">#REF!</definedName>
    <definedName name="LINE140ITEM1250">#REF!</definedName>
    <definedName name="LINE140ITEM200">#REF!</definedName>
    <definedName name="LINE140ITEM300">#REF!</definedName>
    <definedName name="LINE140ITEM400">#REF!</definedName>
    <definedName name="LINE140ITEM500">#REF!</definedName>
    <definedName name="LINE140ITEM600">#REF!</definedName>
    <definedName name="LINE140ITEM650">#REF!</definedName>
    <definedName name="LINE140ITEM700">#REF!</definedName>
    <definedName name="LINE140ITEM800">#REF!</definedName>
    <definedName name="LINE140ITEM900">#REF!</definedName>
    <definedName name="LINE14100ITEM60">#REF!</definedName>
    <definedName name="LINE14100ITEM90">#REF!</definedName>
    <definedName name="LINE14210ITEM90">#REF!</definedName>
    <definedName name="LINE14220ITEM90">#REF!</definedName>
    <definedName name="LINE14290ITEM90">#REF!</definedName>
    <definedName name="LINE14610ITEM90">#REF!</definedName>
    <definedName name="LINE14620ITEM90">#REF!</definedName>
    <definedName name="LINE14630ITEM90">#REF!</definedName>
    <definedName name="LINE14690ITEM90">#REF!</definedName>
    <definedName name="LINE14800ITEM90">#REF!</definedName>
    <definedName name="LINE15000ITEM90">#REF!</definedName>
    <definedName name="LINE150ITEM100">#REF!</definedName>
    <definedName name="LINE150ITEM1000">#REF!</definedName>
    <definedName name="LINE150ITEM1100">#REF!</definedName>
    <definedName name="LINE150ITEM1200">#REF!</definedName>
    <definedName name="LINE150ITEM1250">#REF!</definedName>
    <definedName name="LINE150ITEM200">#REF!</definedName>
    <definedName name="LINE150ITEM300">#REF!</definedName>
    <definedName name="LINE150ITEM400">#REF!</definedName>
    <definedName name="LINE150ITEM500">#REF!</definedName>
    <definedName name="LINE150ITEM600">#REF!</definedName>
    <definedName name="LINE150ITEM650">#REF!</definedName>
    <definedName name="LINE150ITEM700">#REF!</definedName>
    <definedName name="LINE150ITEM800">#REF!</definedName>
    <definedName name="LINE150ITEM900">#REF!</definedName>
    <definedName name="LINE15900ITEM60">#REF!</definedName>
    <definedName name="LINE160ITEM100">#REF!</definedName>
    <definedName name="LINE160ITEM1000">#REF!</definedName>
    <definedName name="LINE160ITEM1100">#REF!</definedName>
    <definedName name="LINE160ITEM1200">#REF!</definedName>
    <definedName name="LINE160ITEM1250">#REF!</definedName>
    <definedName name="LINE160ITEM200">#REF!</definedName>
    <definedName name="LINE160ITEM300">#REF!</definedName>
    <definedName name="LINE160ITEM400">#REF!</definedName>
    <definedName name="LINE160ITEM500">#REF!</definedName>
    <definedName name="LINE160ITEM600">#REF!</definedName>
    <definedName name="LINE160ITEM650">#REF!</definedName>
    <definedName name="LINE160ITEM700">#REF!</definedName>
    <definedName name="LINE160ITEM800">#REF!</definedName>
    <definedName name="LINE160ITEM900">#REF!</definedName>
    <definedName name="LINE16900ITEM90">#REF!</definedName>
    <definedName name="LINE170ITEM100">#REF!</definedName>
    <definedName name="LINE170ITEM1000">#REF!</definedName>
    <definedName name="LINE170ITEM1100">#REF!</definedName>
    <definedName name="LINE170ITEM1200">#REF!</definedName>
    <definedName name="LINE170ITEM1250">#REF!</definedName>
    <definedName name="LINE170ITEM1300">#REF!</definedName>
    <definedName name="LINE170ITEM200">#REF!</definedName>
    <definedName name="LINE170ITEM300">#REF!</definedName>
    <definedName name="LINE170ITEM400">#REF!</definedName>
    <definedName name="LINE170ITEM500">#REF!</definedName>
    <definedName name="LINE170ITEM600">#REF!</definedName>
    <definedName name="LINE170ITEM650">#REF!</definedName>
    <definedName name="LINE170ITEM700">#REF!</definedName>
    <definedName name="LINE170ITEM800">#REF!</definedName>
    <definedName name="LINE170ITEM900">#REF!</definedName>
    <definedName name="LINE17900ITEM60">#REF!</definedName>
    <definedName name="LINE180ITEM100">#REF!</definedName>
    <definedName name="LINE180ITEM1000">#REF!</definedName>
    <definedName name="LINE180ITEM110">#REF!</definedName>
    <definedName name="LINE180ITEM1100">#REF!</definedName>
    <definedName name="LINE180ITEM115">#REF!</definedName>
    <definedName name="LINE180ITEM120">#REF!</definedName>
    <definedName name="LINE180ITEM1200">#REF!</definedName>
    <definedName name="LINE180ITEM125">#REF!</definedName>
    <definedName name="LINE180ITEM1250">#REF!</definedName>
    <definedName name="LINE180ITEM130">#REF!</definedName>
    <definedName name="LINE180ITEM140">#REF!</definedName>
    <definedName name="LINE180ITEM150">#REF!</definedName>
    <definedName name="LINE180ITEM180">#REF!</definedName>
    <definedName name="LINE180ITEM200">#REF!</definedName>
    <definedName name="LINE180ITEM300">#REF!</definedName>
    <definedName name="LINE180ITEM400">#REF!</definedName>
    <definedName name="LINE180ITEM50">#REF!</definedName>
    <definedName name="LINE180ITEM500">#REF!</definedName>
    <definedName name="LINE180ITEM60">#REF!</definedName>
    <definedName name="LINE180ITEM600">#REF!</definedName>
    <definedName name="LINE180ITEM650">#REF!</definedName>
    <definedName name="LINE180ITEM70">#REF!</definedName>
    <definedName name="LINE180ITEM700">#REF!</definedName>
    <definedName name="LINE180ITEM80">#REF!</definedName>
    <definedName name="LINE180ITEM800">#REF!</definedName>
    <definedName name="LINE180ITEM90">#REF!</definedName>
    <definedName name="LINE180ITEM900">#REF!</definedName>
    <definedName name="LINE190ITEM100">#REF!</definedName>
    <definedName name="LINE190ITEM1000">#REF!</definedName>
    <definedName name="LINE190ITEM110">#REF!</definedName>
    <definedName name="LINE190ITEM1100">#REF!</definedName>
    <definedName name="LINE190ITEM120">#REF!</definedName>
    <definedName name="LINE190ITEM1200">#REF!</definedName>
    <definedName name="LINE190ITEM1250">#REF!</definedName>
    <definedName name="LINE190ITEM130">#REF!</definedName>
    <definedName name="LINE190ITEM140">#REF!</definedName>
    <definedName name="LINE190ITEM150">#REF!</definedName>
    <definedName name="LINE190ITEM160">#REF!</definedName>
    <definedName name="LINE190ITEM170">#REF!</definedName>
    <definedName name="LINE190ITEM200">#REF!</definedName>
    <definedName name="LINE190ITEM30">#REF!</definedName>
    <definedName name="LINE190ITEM300">#REF!</definedName>
    <definedName name="LINE190ITEM40">#REF!</definedName>
    <definedName name="LINE190ITEM400">#REF!</definedName>
    <definedName name="LINE190ITEM45">#REF!</definedName>
    <definedName name="LINE190ITEM50">#REF!</definedName>
    <definedName name="LINE190ITEM500">#REF!</definedName>
    <definedName name="LINE190ITEM55">#REF!</definedName>
    <definedName name="LINE190ITEM60">#REF!</definedName>
    <definedName name="LINE190ITEM600">#REF!</definedName>
    <definedName name="LINE190ITEM65">#REF!</definedName>
    <definedName name="LINE190ITEM650">#REF!</definedName>
    <definedName name="LINE190ITEM68">#REF!</definedName>
    <definedName name="LINE190ITEM70">#REF!</definedName>
    <definedName name="LINE190ITEM700">#REF!</definedName>
    <definedName name="LINE190ITEM80">#REF!</definedName>
    <definedName name="LINE190ITEM800">#REF!</definedName>
    <definedName name="LINE190ITEM90">#REF!</definedName>
    <definedName name="LINE190ITEM900">#REF!</definedName>
    <definedName name="Line2">#REF!</definedName>
    <definedName name="LINE200ITEM100">#REF!</definedName>
    <definedName name="LINE200ITEM1000">#REF!</definedName>
    <definedName name="LINE200ITEM103">#REF!</definedName>
    <definedName name="LINE200ITEM105">#REF!</definedName>
    <definedName name="LINE200ITEM110">#REF!</definedName>
    <definedName name="LINE200ITEM1100">#REF!</definedName>
    <definedName name="LINE200ITEM115">#REF!</definedName>
    <definedName name="LINE200ITEM120">#REF!</definedName>
    <definedName name="LINE200ITEM1200">#REF!</definedName>
    <definedName name="LINE200ITEM1250">#REF!</definedName>
    <definedName name="LINE200ITEM130">#REF!</definedName>
    <definedName name="LINE200ITEM140">#REF!</definedName>
    <definedName name="LINE200ITEM150">#REF!</definedName>
    <definedName name="LINE200ITEM160">#REF!</definedName>
    <definedName name="LINE200ITEM190">#REF!</definedName>
    <definedName name="LINE200ITEM200">#REF!</definedName>
    <definedName name="LINE200ITEM30">#REF!</definedName>
    <definedName name="LINE200ITEM300">#REF!</definedName>
    <definedName name="LINE200ITEM40">#REF!</definedName>
    <definedName name="LINE200ITEM400">#REF!</definedName>
    <definedName name="LINE200ITEM50">#REF!</definedName>
    <definedName name="LINE200ITEM500">#REF!</definedName>
    <definedName name="LINE200ITEM55">#REF!</definedName>
    <definedName name="LINE200ITEM60">#REF!</definedName>
    <definedName name="LINE200ITEM600">#REF!</definedName>
    <definedName name="LINE200ITEM650">#REF!</definedName>
    <definedName name="LINE200ITEM70">#REF!</definedName>
    <definedName name="LINE200ITEM700">#REF!</definedName>
    <definedName name="LINE200ITEM80">#REF!</definedName>
    <definedName name="LINE200ITEM800">#REF!</definedName>
    <definedName name="LINE200ITEM90">#REF!</definedName>
    <definedName name="LINE200ITEM900">#REF!</definedName>
    <definedName name="LINE200ITEM95">#REF!</definedName>
    <definedName name="LINE200ITEM96">#REF!</definedName>
    <definedName name="LINE200ITEM97">#REF!</definedName>
    <definedName name="LINE200ITEM98">#REF!</definedName>
    <definedName name="LINE200ITEM99">#REF!</definedName>
    <definedName name="LINE20110ITEM90">#REF!</definedName>
    <definedName name="LINE20120ITEM90">#REF!</definedName>
    <definedName name="LINE20130ITEM90">#REF!</definedName>
    <definedName name="LINE20190ITEM90">#REF!</definedName>
    <definedName name="LINE20210ITEM90">#REF!</definedName>
    <definedName name="LINE20220ITEM90">#REF!</definedName>
    <definedName name="LINE20230ITEM90">#REF!</definedName>
    <definedName name="LINE20240ITEM90">#REF!</definedName>
    <definedName name="LINE20250ITEM90">#REF!</definedName>
    <definedName name="LINE20260ITEM90">#REF!</definedName>
    <definedName name="LINE20290ITEM90">#REF!</definedName>
    <definedName name="LINE20390ITEM60">#REF!</definedName>
    <definedName name="LINE20390ITEM90">#REF!</definedName>
    <definedName name="LINE20410ITEM90">#REF!</definedName>
    <definedName name="LINE20420ITEM90">#REF!</definedName>
    <definedName name="LINE20430ITEM90">#REF!</definedName>
    <definedName name="LINE20490ITEM60">#REF!</definedName>
    <definedName name="LINE20490ITEM90">#REF!</definedName>
    <definedName name="LINE20500ITEM60">#REF!</definedName>
    <definedName name="LINE20500ITEM90">#REF!</definedName>
    <definedName name="LINE20600ITEM60">#REF!</definedName>
    <definedName name="LINE20600ITEM90">#REF!</definedName>
    <definedName name="LINE20710ITEM90">#REF!</definedName>
    <definedName name="LINE20720ITEM90">#REF!</definedName>
    <definedName name="LINE20730ITEM90">#REF!</definedName>
    <definedName name="LINE20740ITEM90">#REF!</definedName>
    <definedName name="LINE20790ITEM60">#REF!</definedName>
    <definedName name="LINE20790ITEM90">#REF!</definedName>
    <definedName name="LINE20ITEM100">#REF!</definedName>
    <definedName name="LINE20ITEM1000">#REF!</definedName>
    <definedName name="LINE20ITEM1100">#REF!</definedName>
    <definedName name="LINE20ITEM1200">#REF!</definedName>
    <definedName name="LINE20ITEM1250">#REF!</definedName>
    <definedName name="LINE20ITEM200">#REF!</definedName>
    <definedName name="LINE20ITEM300">#REF!</definedName>
    <definedName name="LINE20ITEM400">#REF!</definedName>
    <definedName name="LINE20ITEM500">#REF!</definedName>
    <definedName name="LINE20ITEM600">#REF!</definedName>
    <definedName name="LINE20ITEM650">#REF!</definedName>
    <definedName name="LINE20ITEM700">#REF!</definedName>
    <definedName name="LINE20ITEM800">#REF!</definedName>
    <definedName name="LINE20ITEM900">#REF!</definedName>
    <definedName name="LINE210ITEM100">#REF!</definedName>
    <definedName name="LINE210ITEM1000">#REF!</definedName>
    <definedName name="LINE210ITEM110">#REF!</definedName>
    <definedName name="LINE210ITEM1100">#REF!</definedName>
    <definedName name="LINE210ITEM1200">#REF!</definedName>
    <definedName name="LINE210ITEM1250">#REF!</definedName>
    <definedName name="LINE210ITEM140">#REF!</definedName>
    <definedName name="LINE210ITEM150">#REF!</definedName>
    <definedName name="LINE210ITEM160">#REF!</definedName>
    <definedName name="LINE210ITEM20">#REF!</definedName>
    <definedName name="LINE210ITEM200">#REF!</definedName>
    <definedName name="LINE210ITEM30">#REF!</definedName>
    <definedName name="LINE210ITEM300">#REF!</definedName>
    <definedName name="LINE210ITEM40">#REF!</definedName>
    <definedName name="LINE210ITEM400">#REF!</definedName>
    <definedName name="LINE210ITEM50">#REF!</definedName>
    <definedName name="LINE210ITEM500">#REF!</definedName>
    <definedName name="LINE210ITEM55">#REF!</definedName>
    <definedName name="LINE210ITEM60">#REF!</definedName>
    <definedName name="LINE210ITEM600">#REF!</definedName>
    <definedName name="LINE210ITEM650">#REF!</definedName>
    <definedName name="LINE210ITEM70">#REF!</definedName>
    <definedName name="LINE210ITEM700">#REF!</definedName>
    <definedName name="LINE210ITEM80">#REF!</definedName>
    <definedName name="LINE210ITEM800">#REF!</definedName>
    <definedName name="LINE210ITEM90">#REF!</definedName>
    <definedName name="LINE210ITEM900">#REF!</definedName>
    <definedName name="LINE21100ITEM90">#REF!</definedName>
    <definedName name="LINE21200ITEM90">#REF!</definedName>
    <definedName name="LINE21300ITEM90">#REF!</definedName>
    <definedName name="LINE21400ITEM90">#REF!</definedName>
    <definedName name="LINE21600ITEM90">#REF!</definedName>
    <definedName name="LINE21700ITEM90">#REF!</definedName>
    <definedName name="LINE21800ITEM90">#REF!</definedName>
    <definedName name="LINE21900ITEM90">#REF!</definedName>
    <definedName name="LINE22000ITEM60">#REF!</definedName>
    <definedName name="LINE22000ITEM90">#REF!</definedName>
    <definedName name="LINE220ITEM100">#REF!</definedName>
    <definedName name="LINE220ITEM1000">#REF!</definedName>
    <definedName name="LINE220ITEM110">#REF!</definedName>
    <definedName name="LINE220ITEM1100">#REF!</definedName>
    <definedName name="LINE220ITEM120">#REF!</definedName>
    <definedName name="LINE220ITEM1200">#REF!</definedName>
    <definedName name="LINE220ITEM1250">#REF!</definedName>
    <definedName name="LINE220ITEM140">#REF!</definedName>
    <definedName name="LINE220ITEM150">#REF!</definedName>
    <definedName name="LINE220ITEM160">#REF!</definedName>
    <definedName name="LINE220ITEM200">#REF!</definedName>
    <definedName name="LINE220ITEM30">#REF!</definedName>
    <definedName name="LINE220ITEM300">#REF!</definedName>
    <definedName name="LINE220ITEM40">#REF!</definedName>
    <definedName name="LINE220ITEM400">#REF!</definedName>
    <definedName name="LINE220ITEM50">#REF!</definedName>
    <definedName name="LINE220ITEM500">#REF!</definedName>
    <definedName name="LINE220ITEM55">#REF!</definedName>
    <definedName name="LINE220ITEM60">#REF!</definedName>
    <definedName name="LINE220ITEM600">#REF!</definedName>
    <definedName name="LINE220ITEM650">#REF!</definedName>
    <definedName name="LINE220ITEM70">#REF!</definedName>
    <definedName name="LINE220ITEM700">#REF!</definedName>
    <definedName name="LINE220ITEM80">#REF!</definedName>
    <definedName name="LINE220ITEM800">#REF!</definedName>
    <definedName name="LINE220ITEM90">#REF!</definedName>
    <definedName name="LINE220ITEM900">#REF!</definedName>
    <definedName name="LINE22900ITEM60">#REF!</definedName>
    <definedName name="LINE22900ITEM90">#REF!</definedName>
    <definedName name="LINE230ITEM100">#REF!</definedName>
    <definedName name="LINE230ITEM1000">#REF!</definedName>
    <definedName name="LINE230ITEM110">#REF!</definedName>
    <definedName name="LINE230ITEM1100">#REF!</definedName>
    <definedName name="LINE230ITEM1200">#REF!</definedName>
    <definedName name="LINE230ITEM1250">#REF!</definedName>
    <definedName name="LINE230ITEM140">#REF!</definedName>
    <definedName name="LINE230ITEM150">#REF!</definedName>
    <definedName name="LINE230ITEM160">#REF!</definedName>
    <definedName name="LINE230ITEM200">#REF!</definedName>
    <definedName name="LINE230ITEM30">#REF!</definedName>
    <definedName name="LINE230ITEM300">#REF!</definedName>
    <definedName name="LINE230ITEM40">#REF!</definedName>
    <definedName name="LINE230ITEM400">#REF!</definedName>
    <definedName name="LINE230ITEM50">#REF!</definedName>
    <definedName name="LINE230ITEM500">#REF!</definedName>
    <definedName name="LINE230ITEM55">#REF!</definedName>
    <definedName name="LINE230ITEM60">#REF!</definedName>
    <definedName name="LINE230ITEM600">#REF!</definedName>
    <definedName name="LINE230ITEM650">#REF!</definedName>
    <definedName name="LINE230ITEM70">#REF!</definedName>
    <definedName name="LINE230ITEM700">#REF!</definedName>
    <definedName name="LINE230ITEM80">#REF!</definedName>
    <definedName name="LINE230ITEM800">#REF!</definedName>
    <definedName name="LINE230ITEM90">#REF!</definedName>
    <definedName name="LINE230ITEM900">#REF!</definedName>
    <definedName name="LINE23110ITEM90">#REF!</definedName>
    <definedName name="LINE23120ITEM90">#REF!</definedName>
    <definedName name="LINE23130ITEM90">#REF!</definedName>
    <definedName name="LINE23150ITEM90">#REF!</definedName>
    <definedName name="LINE23160ITEM90">#REF!</definedName>
    <definedName name="LINE23170ITEM90">#REF!</definedName>
    <definedName name="LINE23190ITEM60">#REF!</definedName>
    <definedName name="LINE23190ITEM90">#REF!</definedName>
    <definedName name="LINE23200ITEM60">#REF!</definedName>
    <definedName name="LINE23200ITEM90">#REF!</definedName>
    <definedName name="LINE23310ITEM90">#REF!</definedName>
    <definedName name="LINE23320ITEM90">#REF!</definedName>
    <definedName name="LINE23330ITEM90">#REF!</definedName>
    <definedName name="LINE23340ITEM90">#REF!</definedName>
    <definedName name="LINE23350ITEM90">#REF!</definedName>
    <definedName name="LINE23360ITEM90">#REF!</definedName>
    <definedName name="LINE23370ITEM90">#REF!</definedName>
    <definedName name="LINE23390ITEM60">#REF!</definedName>
    <definedName name="LINE23390ITEM90">#REF!</definedName>
    <definedName name="LINE23900ITEM60">#REF!</definedName>
    <definedName name="LINE23900ITEM90">#REF!</definedName>
    <definedName name="LINE240ITEM100">#REF!</definedName>
    <definedName name="LINE240ITEM1000">#REF!</definedName>
    <definedName name="LINE240ITEM110">#REF!</definedName>
    <definedName name="LINE240ITEM1100">#REF!</definedName>
    <definedName name="LINE240ITEM1200">#REF!</definedName>
    <definedName name="LINE240ITEM1250">#REF!</definedName>
    <definedName name="LINE240ITEM1300">#REF!</definedName>
    <definedName name="LINE240ITEM140">#REF!</definedName>
    <definedName name="LINE240ITEM150">#REF!</definedName>
    <definedName name="LINE240ITEM160">#REF!</definedName>
    <definedName name="LINE240ITEM200">#REF!</definedName>
    <definedName name="LINE240ITEM30">#REF!</definedName>
    <definedName name="LINE240ITEM300">#REF!</definedName>
    <definedName name="LINE240ITEM40">#REF!</definedName>
    <definedName name="LINE240ITEM400">#REF!</definedName>
    <definedName name="LINE240ITEM50">#REF!</definedName>
    <definedName name="LINE240ITEM500">#REF!</definedName>
    <definedName name="LINE240ITEM55">#REF!</definedName>
    <definedName name="LINE240ITEM60">#REF!</definedName>
    <definedName name="LINE240ITEM600">#REF!</definedName>
    <definedName name="LINE240ITEM650">#REF!</definedName>
    <definedName name="LINE240ITEM70">#REF!</definedName>
    <definedName name="LINE240ITEM700">#REF!</definedName>
    <definedName name="LINE240ITEM80">#REF!</definedName>
    <definedName name="LINE240ITEM800">#REF!</definedName>
    <definedName name="LINE240ITEM90">#REF!</definedName>
    <definedName name="LINE240ITEM900">#REF!</definedName>
    <definedName name="LINE240ITEM95">#REF!</definedName>
    <definedName name="LINE240ITEM96">#REF!</definedName>
    <definedName name="LINE240ITEM97">#REF!</definedName>
    <definedName name="LINE240ITEM98">#REF!</definedName>
    <definedName name="LINE240ITEM99">#REF!</definedName>
    <definedName name="LINE250ITEM100">#REF!</definedName>
    <definedName name="LINE250ITEM1000">#REF!</definedName>
    <definedName name="LINE250ITEM110">#REF!</definedName>
    <definedName name="LINE250ITEM1100">#REF!</definedName>
    <definedName name="LINE250ITEM1200">#REF!</definedName>
    <definedName name="LINE250ITEM1250">#REF!</definedName>
    <definedName name="LINE250ITEM140">#REF!</definedName>
    <definedName name="LINE250ITEM150">#REF!</definedName>
    <definedName name="LINE250ITEM160">#REF!</definedName>
    <definedName name="LINE250ITEM200">#REF!</definedName>
    <definedName name="LINE250ITEM30">#REF!</definedName>
    <definedName name="LINE250ITEM300">#REF!</definedName>
    <definedName name="LINE250ITEM40">#REF!</definedName>
    <definedName name="LINE250ITEM400">#REF!</definedName>
    <definedName name="LINE250ITEM50">#REF!</definedName>
    <definedName name="LINE250ITEM500">#REF!</definedName>
    <definedName name="LINE250ITEM55">#REF!</definedName>
    <definedName name="LINE250ITEM60">#REF!</definedName>
    <definedName name="LINE250ITEM600">#REF!</definedName>
    <definedName name="LINE250ITEM650">#REF!</definedName>
    <definedName name="LINE250ITEM70">#REF!</definedName>
    <definedName name="LINE250ITEM700">#REF!</definedName>
    <definedName name="LINE250ITEM80">#REF!</definedName>
    <definedName name="LINE250ITEM800">#REF!</definedName>
    <definedName name="LINE250ITEM90">#REF!</definedName>
    <definedName name="LINE250ITEM900">#REF!</definedName>
    <definedName name="LINE250ITEM95">#REF!</definedName>
    <definedName name="LINE250ITEM96">#REF!</definedName>
    <definedName name="LINE250ITEM97">#REF!</definedName>
    <definedName name="LINE250ITEM98">#REF!</definedName>
    <definedName name="LINE250ITEM99">#REF!</definedName>
    <definedName name="LINE260ITEM100">#REF!</definedName>
    <definedName name="LINE260ITEM1000">#REF!</definedName>
    <definedName name="LINE260ITEM110">#REF!</definedName>
    <definedName name="LINE260ITEM1100">#REF!</definedName>
    <definedName name="LINE260ITEM120">#REF!</definedName>
    <definedName name="LINE260ITEM1200">#REF!</definedName>
    <definedName name="LINE260ITEM1250">#REF!</definedName>
    <definedName name="LINE260ITEM150">#REF!</definedName>
    <definedName name="LINE260ITEM160">#REF!</definedName>
    <definedName name="LINE260ITEM200">#REF!</definedName>
    <definedName name="LINE260ITEM30">#REF!</definedName>
    <definedName name="LINE260ITEM300">#REF!</definedName>
    <definedName name="LINE260ITEM40">#REF!</definedName>
    <definedName name="LINE260ITEM400">#REF!</definedName>
    <definedName name="LINE260ITEM50">#REF!</definedName>
    <definedName name="LINE260ITEM500">#REF!</definedName>
    <definedName name="LINE260ITEM55">#REF!</definedName>
    <definedName name="LINE260ITEM60">#REF!</definedName>
    <definedName name="LINE260ITEM600">#REF!</definedName>
    <definedName name="LINE260ITEM650">#REF!</definedName>
    <definedName name="LINE260ITEM70">#REF!</definedName>
    <definedName name="LINE260ITEM700">#REF!</definedName>
    <definedName name="LINE260ITEM80">#REF!</definedName>
    <definedName name="LINE260ITEM800">#REF!</definedName>
    <definedName name="LINE260ITEM90">#REF!</definedName>
    <definedName name="LINE260ITEM900">#REF!</definedName>
    <definedName name="LINE270ITEM100">#REF!</definedName>
    <definedName name="LINE270ITEM1000">#REF!</definedName>
    <definedName name="LINE270ITEM103">#REF!</definedName>
    <definedName name="LINE270ITEM105">#REF!</definedName>
    <definedName name="LINE270ITEM110">#REF!</definedName>
    <definedName name="LINE270ITEM1100">#REF!</definedName>
    <definedName name="LINE270ITEM120">#REF!</definedName>
    <definedName name="LINE270ITEM1200">#REF!</definedName>
    <definedName name="LINE270ITEM1250">#REF!</definedName>
    <definedName name="LINE270ITEM130">#REF!</definedName>
    <definedName name="LINE270ITEM140">#REF!</definedName>
    <definedName name="LINE270ITEM150">#REF!</definedName>
    <definedName name="LINE270ITEM160">#REF!</definedName>
    <definedName name="LINE270ITEM190">#REF!</definedName>
    <definedName name="LINE270ITEM200">#REF!</definedName>
    <definedName name="LINE270ITEM30">#REF!</definedName>
    <definedName name="LINE270ITEM300">#REF!</definedName>
    <definedName name="LINE270ITEM40">#REF!</definedName>
    <definedName name="LINE270ITEM400">#REF!</definedName>
    <definedName name="LINE270ITEM50">#REF!</definedName>
    <definedName name="LINE270ITEM500">#REF!</definedName>
    <definedName name="LINE270ITEM55">#REF!</definedName>
    <definedName name="LINE270ITEM60">#REF!</definedName>
    <definedName name="LINE270ITEM600">#REF!</definedName>
    <definedName name="LINE270ITEM650">#REF!</definedName>
    <definedName name="LINE270ITEM70">#REF!</definedName>
    <definedName name="LINE270ITEM700">#REF!</definedName>
    <definedName name="LINE270ITEM80">#REF!</definedName>
    <definedName name="LINE270ITEM800">#REF!</definedName>
    <definedName name="LINE270ITEM90">#REF!</definedName>
    <definedName name="LINE270ITEM900">#REF!</definedName>
    <definedName name="LINE280ITEM100">#REF!</definedName>
    <definedName name="LINE280ITEM1000">#REF!</definedName>
    <definedName name="LINE280ITEM110">#REF!</definedName>
    <definedName name="LINE280ITEM1100">#REF!</definedName>
    <definedName name="LINE280ITEM115">#REF!</definedName>
    <definedName name="LINE280ITEM120">#REF!</definedName>
    <definedName name="LINE280ITEM1200">#REF!</definedName>
    <definedName name="LINE280ITEM125">#REF!</definedName>
    <definedName name="LINE280ITEM1250">#REF!</definedName>
    <definedName name="LINE280ITEM130">#REF!</definedName>
    <definedName name="LINE280ITEM140">#REF!</definedName>
    <definedName name="LINE280ITEM150">#REF!</definedName>
    <definedName name="LINE280ITEM200">#REF!</definedName>
    <definedName name="LINE280ITEM30">#REF!</definedName>
    <definedName name="LINE280ITEM300">#REF!</definedName>
    <definedName name="LINE280ITEM40">#REF!</definedName>
    <definedName name="LINE280ITEM400">#REF!</definedName>
    <definedName name="LINE280ITEM50">#REF!</definedName>
    <definedName name="LINE280ITEM500">#REF!</definedName>
    <definedName name="LINE280ITEM60">#REF!</definedName>
    <definedName name="LINE280ITEM600">#REF!</definedName>
    <definedName name="LINE280ITEM650">#REF!</definedName>
    <definedName name="LINE280ITEM70">#REF!</definedName>
    <definedName name="LINE280ITEM700">#REF!</definedName>
    <definedName name="LINE280ITEM80">#REF!</definedName>
    <definedName name="LINE280ITEM800">#REF!</definedName>
    <definedName name="LINE280ITEM90">#REF!</definedName>
    <definedName name="LINE280ITEM900">#REF!</definedName>
    <definedName name="LINE290ITEM100">#REF!</definedName>
    <definedName name="LINE290ITEM1000">#REF!</definedName>
    <definedName name="LINE290ITEM110">#REF!</definedName>
    <definedName name="LINE290ITEM1100">#REF!</definedName>
    <definedName name="LINE290ITEM115">#REF!</definedName>
    <definedName name="LINE290ITEM120">#REF!</definedName>
    <definedName name="LINE290ITEM1200">#REF!</definedName>
    <definedName name="LINE290ITEM125">#REF!</definedName>
    <definedName name="LINE290ITEM1250">#REF!</definedName>
    <definedName name="LINE290ITEM130">#REF!</definedName>
    <definedName name="LINE290ITEM140">#REF!</definedName>
    <definedName name="LINE290ITEM150">#REF!</definedName>
    <definedName name="LINE290ITEM160">#REF!</definedName>
    <definedName name="LINE290ITEM170">#REF!</definedName>
    <definedName name="LINE290ITEM200">#REF!</definedName>
    <definedName name="LINE290ITEM300">#REF!</definedName>
    <definedName name="LINE290ITEM40">#REF!</definedName>
    <definedName name="LINE290ITEM400">#REF!</definedName>
    <definedName name="LINE290ITEM45">#REF!</definedName>
    <definedName name="LINE290ITEM50">#REF!</definedName>
    <definedName name="LINE290ITEM500">#REF!</definedName>
    <definedName name="LINE290ITEM60">#REF!</definedName>
    <definedName name="LINE290ITEM600">#REF!</definedName>
    <definedName name="LINE290ITEM65">#REF!</definedName>
    <definedName name="LINE290ITEM650">#REF!</definedName>
    <definedName name="LINE290ITEM68">#REF!</definedName>
    <definedName name="LINE290ITEM70">#REF!</definedName>
    <definedName name="LINE290ITEM700">#REF!</definedName>
    <definedName name="LINE290ITEM80">#REF!</definedName>
    <definedName name="LINE290ITEM800">#REF!</definedName>
    <definedName name="LINE290ITEM90">#REF!</definedName>
    <definedName name="LINE290ITEM900">#REF!</definedName>
    <definedName name="LINE290ITEM95">#REF!</definedName>
    <definedName name="LINE290ITEM96">#REF!</definedName>
    <definedName name="LINE290ITEM97">#REF!</definedName>
    <definedName name="LINE290ITEM98">#REF!</definedName>
    <definedName name="LINE290ITEM99">#REF!</definedName>
    <definedName name="LINE29900ITEM60">#REF!</definedName>
    <definedName name="LINE29900ITEM90">#REF!</definedName>
    <definedName name="LINE300ITEM100">#REF!</definedName>
    <definedName name="LINE300ITEM1000">#REF!</definedName>
    <definedName name="LINE300ITEM110">#REF!</definedName>
    <definedName name="LINE300ITEM1100">#REF!</definedName>
    <definedName name="LINE300ITEM115">#REF!</definedName>
    <definedName name="LINE300ITEM120">#REF!</definedName>
    <definedName name="LINE300ITEM1200">#REF!</definedName>
    <definedName name="LINE300ITEM125">#REF!</definedName>
    <definedName name="LINE300ITEM1250">#REF!</definedName>
    <definedName name="LINE300ITEM130">#REF!</definedName>
    <definedName name="LINE300ITEM140">#REF!</definedName>
    <definedName name="LINE300ITEM150">#REF!</definedName>
    <definedName name="LINE300ITEM160">#REF!</definedName>
    <definedName name="LINE300ITEM170">#REF!</definedName>
    <definedName name="LINE300ITEM200">#REF!</definedName>
    <definedName name="LINE300ITEM300">#REF!</definedName>
    <definedName name="LINE300ITEM40">#REF!</definedName>
    <definedName name="LINE300ITEM400">#REF!</definedName>
    <definedName name="LINE300ITEM45">#REF!</definedName>
    <definedName name="LINE300ITEM50">#REF!</definedName>
    <definedName name="LINE300ITEM500">#REF!</definedName>
    <definedName name="LINE300ITEM60">#REF!</definedName>
    <definedName name="LINE300ITEM600">#REF!</definedName>
    <definedName name="LINE300ITEM65">#REF!</definedName>
    <definedName name="LINE300ITEM650">#REF!</definedName>
    <definedName name="LINE300ITEM68">#REF!</definedName>
    <definedName name="LINE300ITEM70">#REF!</definedName>
    <definedName name="LINE300ITEM700">#REF!</definedName>
    <definedName name="LINE300ITEM80">#REF!</definedName>
    <definedName name="LINE300ITEM800">#REF!</definedName>
    <definedName name="LINE300ITEM90">#REF!</definedName>
    <definedName name="LINE300ITEM900">#REF!</definedName>
    <definedName name="LINE30ITEM100">#REF!</definedName>
    <definedName name="LINE30ITEM1000">#REF!</definedName>
    <definedName name="LINE30ITEM1100">#REF!</definedName>
    <definedName name="LINE30ITEM1200">#REF!</definedName>
    <definedName name="LINE30ITEM1250">#REF!</definedName>
    <definedName name="LINE30ITEM200">#REF!</definedName>
    <definedName name="LINE30ITEM300">#REF!</definedName>
    <definedName name="LINE30ITEM400">#REF!</definedName>
    <definedName name="LINE30ITEM500">#REF!</definedName>
    <definedName name="LINE30ITEM600">#REF!</definedName>
    <definedName name="LINE30ITEM650">#REF!</definedName>
    <definedName name="LINE30ITEM700">#REF!</definedName>
    <definedName name="LINE30ITEM800">#REF!</definedName>
    <definedName name="LINE30ITEM900">#REF!</definedName>
    <definedName name="LINE31000ITEM60">#REF!</definedName>
    <definedName name="LINE31000ITEM90">#REF!</definedName>
    <definedName name="LINE310ITEM100">#REF!</definedName>
    <definedName name="LINE310ITEM1000">#REF!</definedName>
    <definedName name="LINE310ITEM110">#REF!</definedName>
    <definedName name="LINE310ITEM1100">#REF!</definedName>
    <definedName name="LINE310ITEM115">#REF!</definedName>
    <definedName name="LINE310ITEM120">#REF!</definedName>
    <definedName name="LINE310ITEM1200">#REF!</definedName>
    <definedName name="LINE310ITEM1250">#REF!</definedName>
    <definedName name="LINE310ITEM130">#REF!</definedName>
    <definedName name="LINE310ITEM1300">#REF!</definedName>
    <definedName name="LINE310ITEM140">#REF!</definedName>
    <definedName name="LINE310ITEM150">#REF!</definedName>
    <definedName name="LINE310ITEM160">#REF!</definedName>
    <definedName name="LINE310ITEM170">#REF!</definedName>
    <definedName name="LINE310ITEM200">#REF!</definedName>
    <definedName name="LINE310ITEM300">#REF!</definedName>
    <definedName name="LINE310ITEM40">#REF!</definedName>
    <definedName name="LINE310ITEM400">#REF!</definedName>
    <definedName name="LINE310ITEM50">#REF!</definedName>
    <definedName name="LINE310ITEM500">#REF!</definedName>
    <definedName name="LINE310ITEM60">#REF!</definedName>
    <definedName name="LINE310ITEM600">#REF!</definedName>
    <definedName name="LINE310ITEM650">#REF!</definedName>
    <definedName name="LINE310ITEM70">#REF!</definedName>
    <definedName name="LINE310ITEM700">#REF!</definedName>
    <definedName name="LINE310ITEM80">#REF!</definedName>
    <definedName name="LINE310ITEM800">#REF!</definedName>
    <definedName name="LINE310ITEM90">#REF!</definedName>
    <definedName name="LINE310ITEM900">#REF!</definedName>
    <definedName name="LINE320ITEM100">#REF!</definedName>
    <definedName name="LINE320ITEM1000">#REF!</definedName>
    <definedName name="LINE320ITEM103">#REF!</definedName>
    <definedName name="LINE320ITEM105">#REF!</definedName>
    <definedName name="LINE320ITEM110">#REF!</definedName>
    <definedName name="LINE320ITEM1100">#REF!</definedName>
    <definedName name="LINE320ITEM120">#REF!</definedName>
    <definedName name="LINE320ITEM1200">#REF!</definedName>
    <definedName name="LINE320ITEM1250">#REF!</definedName>
    <definedName name="LINE320ITEM130">#REF!</definedName>
    <definedName name="LINE320ITEM140">#REF!</definedName>
    <definedName name="LINE320ITEM150">#REF!</definedName>
    <definedName name="LINE320ITEM160">#REF!</definedName>
    <definedName name="LINE320ITEM190">#REF!</definedName>
    <definedName name="LINE320ITEM200">#REF!</definedName>
    <definedName name="LINE320ITEM300">#REF!</definedName>
    <definedName name="LINE320ITEM400">#REF!</definedName>
    <definedName name="LINE320ITEM50">#REF!</definedName>
    <definedName name="LINE320ITEM500">#REF!</definedName>
    <definedName name="LINE320ITEM60">#REF!</definedName>
    <definedName name="LINE320ITEM600">#REF!</definedName>
    <definedName name="LINE320ITEM650">#REF!</definedName>
    <definedName name="LINE320ITEM70">#REF!</definedName>
    <definedName name="LINE320ITEM700">#REF!</definedName>
    <definedName name="LINE320ITEM80">#REF!</definedName>
    <definedName name="LINE320ITEM800">#REF!</definedName>
    <definedName name="LINE320ITEM90">#REF!</definedName>
    <definedName name="LINE320ITEM900">#REF!</definedName>
    <definedName name="LINE330ITEM100">#REF!</definedName>
    <definedName name="LINE330ITEM1000">#REF!</definedName>
    <definedName name="LINE330ITEM103">#REF!</definedName>
    <definedName name="LINE330ITEM105">#REF!</definedName>
    <definedName name="LINE330ITEM110">#REF!</definedName>
    <definedName name="LINE330ITEM1100">#REF!</definedName>
    <definedName name="LINE330ITEM120">#REF!</definedName>
    <definedName name="LINE330ITEM1200">#REF!</definedName>
    <definedName name="LINE330ITEM1250">#REF!</definedName>
    <definedName name="LINE330ITEM130">#REF!</definedName>
    <definedName name="LINE330ITEM140">#REF!</definedName>
    <definedName name="LINE330ITEM150">#REF!</definedName>
    <definedName name="LINE330ITEM160">#REF!</definedName>
    <definedName name="LINE330ITEM190">#REF!</definedName>
    <definedName name="LINE330ITEM200">#REF!</definedName>
    <definedName name="LINE330ITEM300">#REF!</definedName>
    <definedName name="LINE330ITEM400">#REF!</definedName>
    <definedName name="LINE330ITEM50">#REF!</definedName>
    <definedName name="LINE330ITEM500">#REF!</definedName>
    <definedName name="LINE330ITEM60">#REF!</definedName>
    <definedName name="LINE330ITEM600">#REF!</definedName>
    <definedName name="LINE330ITEM650">#REF!</definedName>
    <definedName name="LINE330ITEM70">#REF!</definedName>
    <definedName name="LINE330ITEM700">#REF!</definedName>
    <definedName name="LINE330ITEM80">#REF!</definedName>
    <definedName name="LINE330ITEM800">#REF!</definedName>
    <definedName name="LINE330ITEM90">#REF!</definedName>
    <definedName name="LINE330ITEM900">#REF!</definedName>
    <definedName name="LINE340ITEM100">#REF!</definedName>
    <definedName name="LINE340ITEM1000">#REF!</definedName>
    <definedName name="LINE340ITEM1100">#REF!</definedName>
    <definedName name="LINE340ITEM1200">#REF!</definedName>
    <definedName name="LINE340ITEM1250">#REF!</definedName>
    <definedName name="LINE340ITEM200">#REF!</definedName>
    <definedName name="LINE340ITEM300">#REF!</definedName>
    <definedName name="LINE340ITEM400">#REF!</definedName>
    <definedName name="LINE340ITEM50">#REF!</definedName>
    <definedName name="LINE340ITEM500">#REF!</definedName>
    <definedName name="LINE340ITEM60">#REF!</definedName>
    <definedName name="LINE340ITEM600">#REF!</definedName>
    <definedName name="LINE340ITEM650">#REF!</definedName>
    <definedName name="LINE340ITEM70">#REF!</definedName>
    <definedName name="LINE340ITEM700">#REF!</definedName>
    <definedName name="LINE340ITEM80">#REF!</definedName>
    <definedName name="LINE340ITEM800">#REF!</definedName>
    <definedName name="LINE340ITEM90">#REF!</definedName>
    <definedName name="LINE340ITEM900">#REF!</definedName>
    <definedName name="LINE350ITEM100">#REF!</definedName>
    <definedName name="LINE350ITEM1000">#REF!</definedName>
    <definedName name="LINE350ITEM110">#REF!</definedName>
    <definedName name="LINE350ITEM1100">#REF!</definedName>
    <definedName name="LINE350ITEM120">#REF!</definedName>
    <definedName name="LINE350ITEM1200">#REF!</definedName>
    <definedName name="LINE350ITEM1250">#REF!</definedName>
    <definedName name="LINE350ITEM140">#REF!</definedName>
    <definedName name="LINE350ITEM150">#REF!</definedName>
    <definedName name="LINE350ITEM160">#REF!</definedName>
    <definedName name="LINE350ITEM200">#REF!</definedName>
    <definedName name="LINE350ITEM300">#REF!</definedName>
    <definedName name="LINE350ITEM400">#REF!</definedName>
    <definedName name="LINE350ITEM50">#REF!</definedName>
    <definedName name="LINE350ITEM500">#REF!</definedName>
    <definedName name="LINE350ITEM60">#REF!</definedName>
    <definedName name="LINE350ITEM600">#REF!</definedName>
    <definedName name="LINE350ITEM650">#REF!</definedName>
    <definedName name="LINE350ITEM70">#REF!</definedName>
    <definedName name="LINE350ITEM700">#REF!</definedName>
    <definedName name="LINE350ITEM80">#REF!</definedName>
    <definedName name="LINE350ITEM800">#REF!</definedName>
    <definedName name="LINE350ITEM90">#REF!</definedName>
    <definedName name="LINE350ITEM900">#REF!</definedName>
    <definedName name="LINE360ITEM100">#REF!</definedName>
    <definedName name="LINE360ITEM1000">#REF!</definedName>
    <definedName name="LINE360ITEM110">#REF!</definedName>
    <definedName name="LINE360ITEM1100">#REF!</definedName>
    <definedName name="LINE360ITEM120">#REF!</definedName>
    <definedName name="LINE360ITEM1200">#REF!</definedName>
    <definedName name="LINE360ITEM1250">#REF!</definedName>
    <definedName name="LINE360ITEM130">#REF!</definedName>
    <definedName name="LINE360ITEM140">#REF!</definedName>
    <definedName name="LINE360ITEM150">#REF!</definedName>
    <definedName name="LINE360ITEM160">#REF!</definedName>
    <definedName name="LINE360ITEM200">#REF!</definedName>
    <definedName name="LINE360ITEM300">#REF!</definedName>
    <definedName name="LINE360ITEM400">#REF!</definedName>
    <definedName name="LINE360ITEM50">#REF!</definedName>
    <definedName name="LINE360ITEM500">#REF!</definedName>
    <definedName name="LINE360ITEM60">#REF!</definedName>
    <definedName name="LINE360ITEM600">#REF!</definedName>
    <definedName name="LINE360ITEM650">#REF!</definedName>
    <definedName name="LINE360ITEM70">#REF!</definedName>
    <definedName name="LINE360ITEM700">#REF!</definedName>
    <definedName name="LINE360ITEM80">#REF!</definedName>
    <definedName name="LINE360ITEM800">#REF!</definedName>
    <definedName name="LINE360ITEM90">#REF!</definedName>
    <definedName name="LINE360ITEM900">#REF!</definedName>
    <definedName name="LINE360ITEM95">#REF!</definedName>
    <definedName name="LINE360ITEM96">#REF!</definedName>
    <definedName name="LINE360ITEM97">#REF!</definedName>
    <definedName name="LINE360ITEM98">#REF!</definedName>
    <definedName name="LINE360ITEM99">#REF!</definedName>
    <definedName name="LINE370ITEM100">#REF!</definedName>
    <definedName name="LINE370ITEM1000">#REF!</definedName>
    <definedName name="LINE370ITEM110">#REF!</definedName>
    <definedName name="LINE370ITEM1100">#REF!</definedName>
    <definedName name="LINE370ITEM120">#REF!</definedName>
    <definedName name="LINE370ITEM1200">#REF!</definedName>
    <definedName name="LINE370ITEM1250">#REF!</definedName>
    <definedName name="LINE370ITEM130">#REF!</definedName>
    <definedName name="LINE370ITEM140">#REF!</definedName>
    <definedName name="LINE370ITEM150">#REF!</definedName>
    <definedName name="LINE370ITEM160">#REF!</definedName>
    <definedName name="LINE370ITEM200">#REF!</definedName>
    <definedName name="LINE370ITEM300">#REF!</definedName>
    <definedName name="LINE370ITEM400">#REF!</definedName>
    <definedName name="LINE370ITEM50">#REF!</definedName>
    <definedName name="LINE370ITEM500">#REF!</definedName>
    <definedName name="LINE370ITEM60">#REF!</definedName>
    <definedName name="LINE370ITEM600">#REF!</definedName>
    <definedName name="LINE370ITEM650">#REF!</definedName>
    <definedName name="LINE370ITEM70">#REF!</definedName>
    <definedName name="LINE370ITEM700">#REF!</definedName>
    <definedName name="LINE370ITEM80">#REF!</definedName>
    <definedName name="LINE370ITEM800">#REF!</definedName>
    <definedName name="LINE370ITEM90">#REF!</definedName>
    <definedName name="LINE370ITEM900">#REF!</definedName>
    <definedName name="LINE380ITEM100">#REF!</definedName>
    <definedName name="LINE380ITEM1000">#REF!</definedName>
    <definedName name="LINE380ITEM103">#REF!</definedName>
    <definedName name="LINE380ITEM105">#REF!</definedName>
    <definedName name="LINE380ITEM110">#REF!</definedName>
    <definedName name="LINE380ITEM1100">#REF!</definedName>
    <definedName name="LINE380ITEM120">#REF!</definedName>
    <definedName name="LINE380ITEM1200">#REF!</definedName>
    <definedName name="LINE380ITEM1250">#REF!</definedName>
    <definedName name="LINE380ITEM130">#REF!</definedName>
    <definedName name="LINE380ITEM140">#REF!</definedName>
    <definedName name="LINE380ITEM150">#REF!</definedName>
    <definedName name="LINE380ITEM160">#REF!</definedName>
    <definedName name="LINE380ITEM190">#REF!</definedName>
    <definedName name="LINE380ITEM200">#REF!</definedName>
    <definedName name="LINE380ITEM300">#REF!</definedName>
    <definedName name="LINE380ITEM400">#REF!</definedName>
    <definedName name="LINE380ITEM50">#REF!</definedName>
    <definedName name="LINE380ITEM500">#REF!</definedName>
    <definedName name="LINE380ITEM60">#REF!</definedName>
    <definedName name="LINE380ITEM600">#REF!</definedName>
    <definedName name="LINE380ITEM650">#REF!</definedName>
    <definedName name="LINE380ITEM70">#REF!</definedName>
    <definedName name="LINE380ITEM700">#REF!</definedName>
    <definedName name="LINE380ITEM80">#REF!</definedName>
    <definedName name="LINE380ITEM800">#REF!</definedName>
    <definedName name="LINE380ITEM90">#REF!</definedName>
    <definedName name="LINE380ITEM900">#REF!</definedName>
    <definedName name="LINE390ITEM100">#REF!</definedName>
    <definedName name="LINE390ITEM1000">#REF!</definedName>
    <definedName name="LINE390ITEM110">#REF!</definedName>
    <definedName name="LINE390ITEM1100">#REF!</definedName>
    <definedName name="LINE390ITEM1200">#REF!</definedName>
    <definedName name="LINE390ITEM1250">#REF!</definedName>
    <definedName name="LINE390ITEM130">#REF!</definedName>
    <definedName name="LINE390ITEM140">#REF!</definedName>
    <definedName name="LINE390ITEM150">#REF!</definedName>
    <definedName name="LINE390ITEM160">#REF!</definedName>
    <definedName name="LINE390ITEM200">#REF!</definedName>
    <definedName name="LINE390ITEM300">#REF!</definedName>
    <definedName name="LINE390ITEM400">#REF!</definedName>
    <definedName name="LINE390ITEM50">#REF!</definedName>
    <definedName name="LINE390ITEM500">#REF!</definedName>
    <definedName name="LINE390ITEM60">#REF!</definedName>
    <definedName name="LINE390ITEM600">#REF!</definedName>
    <definedName name="LINE390ITEM650">#REF!</definedName>
    <definedName name="LINE390ITEM70">#REF!</definedName>
    <definedName name="LINE390ITEM700">#REF!</definedName>
    <definedName name="LINE390ITEM80">#REF!</definedName>
    <definedName name="LINE390ITEM800">#REF!</definedName>
    <definedName name="LINE390ITEM90">#REF!</definedName>
    <definedName name="LINE390ITEM900">#REF!</definedName>
    <definedName name="LINE400ITEM100">#REF!</definedName>
    <definedName name="LINE400ITEM1000">#REF!</definedName>
    <definedName name="LINE400ITEM110">#REF!</definedName>
    <definedName name="LINE400ITEM1100">#REF!</definedName>
    <definedName name="LINE400ITEM1200">#REF!</definedName>
    <definedName name="LINE400ITEM1250">#REF!</definedName>
    <definedName name="LINE400ITEM130">#REF!</definedName>
    <definedName name="LINE400ITEM150">#REF!</definedName>
    <definedName name="LINE400ITEM160">#REF!</definedName>
    <definedName name="LINE400ITEM200">#REF!</definedName>
    <definedName name="LINE400ITEM300">#REF!</definedName>
    <definedName name="LINE400ITEM400">#REF!</definedName>
    <definedName name="LINE400ITEM50">#REF!</definedName>
    <definedName name="LINE400ITEM500">#REF!</definedName>
    <definedName name="LINE400ITEM60">#REF!</definedName>
    <definedName name="LINE400ITEM600">#REF!</definedName>
    <definedName name="LINE400ITEM650">#REF!</definedName>
    <definedName name="LINE400ITEM70">#REF!</definedName>
    <definedName name="LINE400ITEM700">#REF!</definedName>
    <definedName name="LINE400ITEM80">#REF!</definedName>
    <definedName name="LINE400ITEM800">#REF!</definedName>
    <definedName name="LINE400ITEM90">#REF!</definedName>
    <definedName name="LINE400ITEM900">#REF!</definedName>
    <definedName name="LINE40ITEM100">#REF!</definedName>
    <definedName name="LINE40ITEM1000">#REF!</definedName>
    <definedName name="LINE40ITEM1100">#REF!</definedName>
    <definedName name="LINE40ITEM1200">#REF!</definedName>
    <definedName name="LINE40ITEM1250">#REF!</definedName>
    <definedName name="LINE40ITEM200">#REF!</definedName>
    <definedName name="LINE40ITEM300">#REF!</definedName>
    <definedName name="LINE40ITEM400">#REF!</definedName>
    <definedName name="LINE40ITEM500">#REF!</definedName>
    <definedName name="LINE40ITEM600">#REF!</definedName>
    <definedName name="LINE40ITEM650">#REF!</definedName>
    <definedName name="LINE40ITEM700">#REF!</definedName>
    <definedName name="LINE40ITEM800">#REF!</definedName>
    <definedName name="LINE40ITEM900">#REF!</definedName>
    <definedName name="LINE410ITEM100">#REF!</definedName>
    <definedName name="LINE410ITEM1000">#REF!</definedName>
    <definedName name="LINE410ITEM110">#REF!</definedName>
    <definedName name="LINE410ITEM1100">#REF!</definedName>
    <definedName name="LINE410ITEM120">#REF!</definedName>
    <definedName name="LINE410ITEM1200">#REF!</definedName>
    <definedName name="LINE410ITEM1250">#REF!</definedName>
    <definedName name="LINE410ITEM140">#REF!</definedName>
    <definedName name="LINE410ITEM150">#REF!</definedName>
    <definedName name="LINE410ITEM160">#REF!</definedName>
    <definedName name="LINE410ITEM200">#REF!</definedName>
    <definedName name="LINE410ITEM300">#REF!</definedName>
    <definedName name="LINE410ITEM400">#REF!</definedName>
    <definedName name="LINE410ITEM50">#REF!</definedName>
    <definedName name="LINE410ITEM500">#REF!</definedName>
    <definedName name="LINE410ITEM60">#REF!</definedName>
    <definedName name="LINE410ITEM600">#REF!</definedName>
    <definedName name="LINE410ITEM650">#REF!</definedName>
    <definedName name="LINE410ITEM70">#REF!</definedName>
    <definedName name="LINE410ITEM700">#REF!</definedName>
    <definedName name="LINE410ITEM80">#REF!</definedName>
    <definedName name="LINE410ITEM800">#REF!</definedName>
    <definedName name="LINE410ITEM90">#REF!</definedName>
    <definedName name="LINE410ITEM900">#REF!</definedName>
    <definedName name="LINE410ITEM95">#REF!</definedName>
    <definedName name="LINE410ITEM96">#REF!</definedName>
    <definedName name="LINE410ITEM97">#REF!</definedName>
    <definedName name="LINE410ITEM98">#REF!</definedName>
    <definedName name="LINE410ITEM99">#REF!</definedName>
    <definedName name="LINE41100ITEM60">#REF!</definedName>
    <definedName name="LINE41100ITEM90">#REF!</definedName>
    <definedName name="LINE41200ITEM60">#REF!</definedName>
    <definedName name="LINE41200ITEM90">#REF!</definedName>
    <definedName name="LINE41300ITEM60">#REF!</definedName>
    <definedName name="LINE41300ITEM90">#REF!</definedName>
    <definedName name="LINE41400ITEM60">#REF!</definedName>
    <definedName name="LINE41400ITEM90">#REF!</definedName>
    <definedName name="LINE41500ITEM60">#REF!</definedName>
    <definedName name="LINE41500ITEM90">#REF!</definedName>
    <definedName name="LINE41600ITEM60">#REF!</definedName>
    <definedName name="LINE41600ITEM90">#REF!</definedName>
    <definedName name="LINE41700ITEM90">#REF!</definedName>
    <definedName name="LINE41800ITEM60">#REF!</definedName>
    <definedName name="LINE41800ITEM90">#REF!</definedName>
    <definedName name="LINE41900ITEM90">#REF!</definedName>
    <definedName name="LINE420ITEM100">#REF!</definedName>
    <definedName name="LINE420ITEM1000">#REF!</definedName>
    <definedName name="LINE420ITEM110">#REF!</definedName>
    <definedName name="LINE420ITEM1100">#REF!</definedName>
    <definedName name="LINE420ITEM120">#REF!</definedName>
    <definedName name="LINE420ITEM1200">#REF!</definedName>
    <definedName name="LINE420ITEM1250">#REF!</definedName>
    <definedName name="LINE420ITEM200">#REF!</definedName>
    <definedName name="LINE420ITEM300">#REF!</definedName>
    <definedName name="LINE420ITEM400">#REF!</definedName>
    <definedName name="LINE420ITEM50">#REF!</definedName>
    <definedName name="LINE420ITEM500">#REF!</definedName>
    <definedName name="LINE420ITEM60">#REF!</definedName>
    <definedName name="LINE420ITEM600">#REF!</definedName>
    <definedName name="LINE420ITEM650">#REF!</definedName>
    <definedName name="LINE420ITEM70">#REF!</definedName>
    <definedName name="LINE420ITEM700">#REF!</definedName>
    <definedName name="LINE420ITEM80">#REF!</definedName>
    <definedName name="LINE420ITEM800">#REF!</definedName>
    <definedName name="LINE420ITEM90">#REF!</definedName>
    <definedName name="LINE420ITEM900">#REF!</definedName>
    <definedName name="LINE420ITEM95">#REF!</definedName>
    <definedName name="LINE420ITEM96">#REF!</definedName>
    <definedName name="LINE420ITEM97">#REF!</definedName>
    <definedName name="LINE420ITEM98">#REF!</definedName>
    <definedName name="LINE420ITEM99">#REF!</definedName>
    <definedName name="LINE42100ITEM60">#REF!</definedName>
    <definedName name="LINE42100ITEM90">#REF!</definedName>
    <definedName name="LINE430ITEM100">#REF!</definedName>
    <definedName name="LINE430ITEM1000">#REF!</definedName>
    <definedName name="LINE430ITEM110">#REF!</definedName>
    <definedName name="LINE430ITEM1100">#REF!</definedName>
    <definedName name="LINE430ITEM1200">#REF!</definedName>
    <definedName name="LINE430ITEM1250">#REF!</definedName>
    <definedName name="LINE430ITEM200">#REF!</definedName>
    <definedName name="LINE430ITEM300">#REF!</definedName>
    <definedName name="LINE430ITEM400">#REF!</definedName>
    <definedName name="LINE430ITEM50">#REF!</definedName>
    <definedName name="LINE430ITEM500">#REF!</definedName>
    <definedName name="LINE430ITEM60">#REF!</definedName>
    <definedName name="LINE430ITEM600">#REF!</definedName>
    <definedName name="LINE430ITEM650">#REF!</definedName>
    <definedName name="LINE430ITEM70">#REF!</definedName>
    <definedName name="LINE430ITEM700">#REF!</definedName>
    <definedName name="LINE430ITEM80">#REF!</definedName>
    <definedName name="LINE430ITEM800">#REF!</definedName>
    <definedName name="LINE430ITEM90">#REF!</definedName>
    <definedName name="LINE430ITEM900">#REF!</definedName>
    <definedName name="LINE440ITEM100">#REF!</definedName>
    <definedName name="LINE440ITEM1000">#REF!</definedName>
    <definedName name="LINE440ITEM110">#REF!</definedName>
    <definedName name="LINE440ITEM1100">#REF!</definedName>
    <definedName name="LINE440ITEM120">#REF!</definedName>
    <definedName name="LINE440ITEM1200">#REF!</definedName>
    <definedName name="LINE440ITEM1250">#REF!</definedName>
    <definedName name="LINE440ITEM200">#REF!</definedName>
    <definedName name="LINE440ITEM300">#REF!</definedName>
    <definedName name="LINE440ITEM400">#REF!</definedName>
    <definedName name="LINE440ITEM50">#REF!</definedName>
    <definedName name="LINE440ITEM500">#REF!</definedName>
    <definedName name="LINE440ITEM60">#REF!</definedName>
    <definedName name="LINE440ITEM600">#REF!</definedName>
    <definedName name="LINE440ITEM650">#REF!</definedName>
    <definedName name="LINE440ITEM70">#REF!</definedName>
    <definedName name="LINE440ITEM700">#REF!</definedName>
    <definedName name="LINE440ITEM80">#REF!</definedName>
    <definedName name="LINE440ITEM800">#REF!</definedName>
    <definedName name="LINE440ITEM90">#REF!</definedName>
    <definedName name="LINE440ITEM900">#REF!</definedName>
    <definedName name="LINE450ITEM100">#REF!</definedName>
    <definedName name="LINE450ITEM1000">#REF!</definedName>
    <definedName name="LINE450ITEM110">#REF!</definedName>
    <definedName name="LINE450ITEM1100">#REF!</definedName>
    <definedName name="LINE450ITEM1200">#REF!</definedName>
    <definedName name="LINE450ITEM1250">#REF!</definedName>
    <definedName name="LINE450ITEM1300">#REF!</definedName>
    <definedName name="LINE450ITEM200">#REF!</definedName>
    <definedName name="LINE450ITEM300">#REF!</definedName>
    <definedName name="LINE450ITEM400">#REF!</definedName>
    <definedName name="LINE450ITEM500">#REF!</definedName>
    <definedName name="LINE450ITEM600">#REF!</definedName>
    <definedName name="LINE450ITEM650">#REF!</definedName>
    <definedName name="LINE450ITEM700">#REF!</definedName>
    <definedName name="LINE450ITEM80">#REF!</definedName>
    <definedName name="LINE450ITEM800">#REF!</definedName>
    <definedName name="LINE450ITEM90">#REF!</definedName>
    <definedName name="LINE450ITEM900">#REF!</definedName>
    <definedName name="LINE45900ITEM60">#REF!</definedName>
    <definedName name="LINE45900ITEM90">#REF!</definedName>
    <definedName name="LINE460ITEM100">#REF!</definedName>
    <definedName name="LINE460ITEM1000">#REF!</definedName>
    <definedName name="LINE460ITEM110">#REF!</definedName>
    <definedName name="LINE460ITEM1100">#REF!</definedName>
    <definedName name="LINE460ITEM120">#REF!</definedName>
    <definedName name="LINE460ITEM1200">#REF!</definedName>
    <definedName name="LINE460ITEM1250">#REF!</definedName>
    <definedName name="LINE460ITEM200">#REF!</definedName>
    <definedName name="LINE460ITEM300">#REF!</definedName>
    <definedName name="LINE460ITEM400">#REF!</definedName>
    <definedName name="LINE460ITEM500">#REF!</definedName>
    <definedName name="LINE460ITEM600">#REF!</definedName>
    <definedName name="LINE460ITEM650">#REF!</definedName>
    <definedName name="LINE460ITEM700">#REF!</definedName>
    <definedName name="LINE460ITEM80">#REF!</definedName>
    <definedName name="LINE460ITEM800">#REF!</definedName>
    <definedName name="LINE460ITEM90">#REF!</definedName>
    <definedName name="LINE460ITEM900">#REF!</definedName>
    <definedName name="LINE460ITEM95">#REF!</definedName>
    <definedName name="LINE460ITEM96">#REF!</definedName>
    <definedName name="LINE460ITEM97">#REF!</definedName>
    <definedName name="LINE460ITEM98">#REF!</definedName>
    <definedName name="LINE460ITEM99">#REF!</definedName>
    <definedName name="LINE470ITEM100">#REF!</definedName>
    <definedName name="LINE470ITEM1000">#REF!</definedName>
    <definedName name="LINE470ITEM110">#REF!</definedName>
    <definedName name="LINE470ITEM1100">#REF!</definedName>
    <definedName name="LINE470ITEM120">#REF!</definedName>
    <definedName name="LINE470ITEM1200">#REF!</definedName>
    <definedName name="LINE470ITEM1250">#REF!</definedName>
    <definedName name="LINE470ITEM200">#REF!</definedName>
    <definedName name="LINE470ITEM300">#REF!</definedName>
    <definedName name="LINE470ITEM400">#REF!</definedName>
    <definedName name="LINE470ITEM50">#REF!</definedName>
    <definedName name="LINE470ITEM500">#REF!</definedName>
    <definedName name="LINE470ITEM60">#REF!</definedName>
    <definedName name="LINE470ITEM600">#REF!</definedName>
    <definedName name="LINE470ITEM650">#REF!</definedName>
    <definedName name="LINE470ITEM700">#REF!</definedName>
    <definedName name="LINE470ITEM80">#REF!</definedName>
    <definedName name="LINE470ITEM800">#REF!</definedName>
    <definedName name="LINE470ITEM90">#REF!</definedName>
    <definedName name="LINE470ITEM900">#REF!</definedName>
    <definedName name="LINE470ITEM95">#REF!</definedName>
    <definedName name="LINE470ITEM96">#REF!</definedName>
    <definedName name="LINE470ITEM97">#REF!</definedName>
    <definedName name="LINE470ITEM98">#REF!</definedName>
    <definedName name="LINE470ITEM99">#REF!</definedName>
    <definedName name="LINE480ITEM100">#REF!</definedName>
    <definedName name="LINE480ITEM1000">#REF!</definedName>
    <definedName name="LINE480ITEM110">#REF!</definedName>
    <definedName name="LINE480ITEM1100">#REF!</definedName>
    <definedName name="LINE480ITEM1200">#REF!</definedName>
    <definedName name="LINE480ITEM1250">#REF!</definedName>
    <definedName name="LINE480ITEM200">#REF!</definedName>
    <definedName name="LINE480ITEM300">#REF!</definedName>
    <definedName name="LINE480ITEM400">#REF!</definedName>
    <definedName name="LINE480ITEM500">#REF!</definedName>
    <definedName name="LINE480ITEM600">#REF!</definedName>
    <definedName name="LINE480ITEM650">#REF!</definedName>
    <definedName name="LINE480ITEM700">#REF!</definedName>
    <definedName name="LINE480ITEM80">#REF!</definedName>
    <definedName name="LINE480ITEM800">#REF!</definedName>
    <definedName name="LINE480ITEM90">#REF!</definedName>
    <definedName name="LINE480ITEM900">#REF!</definedName>
    <definedName name="LINE480ITEM96">#REF!</definedName>
    <definedName name="LINE480ITEM97">#REF!</definedName>
    <definedName name="LINE490ITEM100">#REF!</definedName>
    <definedName name="LINE490ITEM1000">#REF!</definedName>
    <definedName name="LINE490ITEM1100">#REF!</definedName>
    <definedName name="LINE490ITEM1200">#REF!</definedName>
    <definedName name="LINE490ITEM1250">#REF!</definedName>
    <definedName name="LINE490ITEM200">#REF!</definedName>
    <definedName name="LINE490ITEM300">#REF!</definedName>
    <definedName name="LINE490ITEM400">#REF!</definedName>
    <definedName name="LINE490ITEM500">#REF!</definedName>
    <definedName name="LINE490ITEM600">#REF!</definedName>
    <definedName name="LINE490ITEM650">#REF!</definedName>
    <definedName name="LINE490ITEM700">#REF!</definedName>
    <definedName name="LINE490ITEM800">#REF!</definedName>
    <definedName name="LINE490ITEM900">#REF!</definedName>
    <definedName name="LINE490ITEM96">#REF!</definedName>
    <definedName name="LINE490ITEM97">#REF!</definedName>
    <definedName name="LINE500ITEM100">#REF!</definedName>
    <definedName name="LINE500ITEM1000">#REF!</definedName>
    <definedName name="LINE500ITEM1100">#REF!</definedName>
    <definedName name="LINE500ITEM1200">#REF!</definedName>
    <definedName name="LINE500ITEM1250">#REF!</definedName>
    <definedName name="LINE500ITEM200">#REF!</definedName>
    <definedName name="LINE500ITEM300">#REF!</definedName>
    <definedName name="LINE500ITEM400">#REF!</definedName>
    <definedName name="LINE500ITEM500">#REF!</definedName>
    <definedName name="LINE500ITEM600">#REF!</definedName>
    <definedName name="LINE500ITEM650">#REF!</definedName>
    <definedName name="LINE500ITEM700">#REF!</definedName>
    <definedName name="LINE500ITEM800">#REF!</definedName>
    <definedName name="LINE500ITEM900">#REF!</definedName>
    <definedName name="LINE500ITEM96">#REF!</definedName>
    <definedName name="LINE500ITEM97">#REF!</definedName>
    <definedName name="LINE50ITEM1200">#REF!</definedName>
    <definedName name="LINE50ITEM1250">#REF!</definedName>
    <definedName name="LINE50ITEM300">#REF!</definedName>
    <definedName name="LINE50ITEM600">#REF!</definedName>
    <definedName name="LINE50ITEM650">#REF!</definedName>
    <definedName name="LINE50ITEM900">#REF!</definedName>
    <definedName name="LINE510ITEM100">#REF!</definedName>
    <definedName name="LINE510ITEM1000">#REF!</definedName>
    <definedName name="LINE510ITEM1100">#REF!</definedName>
    <definedName name="LINE510ITEM1200">#REF!</definedName>
    <definedName name="LINE510ITEM1250">#REF!</definedName>
    <definedName name="LINE510ITEM200">#REF!</definedName>
    <definedName name="LINE510ITEM300">#REF!</definedName>
    <definedName name="LINE510ITEM400">#REF!</definedName>
    <definedName name="LINE510ITEM50">#REF!</definedName>
    <definedName name="LINE510ITEM500">#REF!</definedName>
    <definedName name="LINE510ITEM60">#REF!</definedName>
    <definedName name="LINE510ITEM600">#REF!</definedName>
    <definedName name="LINE510ITEM650">#REF!</definedName>
    <definedName name="LINE510ITEM700">#REF!</definedName>
    <definedName name="LINE510ITEM800">#REF!</definedName>
    <definedName name="LINE510ITEM900">#REF!</definedName>
    <definedName name="LINE510ITEM96">#REF!</definedName>
    <definedName name="LINE510ITEM97">#REF!</definedName>
    <definedName name="LINE520ITEM100">#REF!</definedName>
    <definedName name="LINE520ITEM1000">#REF!</definedName>
    <definedName name="LINE520ITEM110">#REF!</definedName>
    <definedName name="LINE520ITEM1100">#REF!</definedName>
    <definedName name="LINE520ITEM1200">#REF!</definedName>
    <definedName name="LINE520ITEM1250">#REF!</definedName>
    <definedName name="LINE520ITEM200">#REF!</definedName>
    <definedName name="LINE520ITEM300">#REF!</definedName>
    <definedName name="LINE520ITEM400">#REF!</definedName>
    <definedName name="LINE520ITEM50">#REF!</definedName>
    <definedName name="LINE520ITEM500">#REF!</definedName>
    <definedName name="LINE520ITEM60">#REF!</definedName>
    <definedName name="LINE520ITEM600">#REF!</definedName>
    <definedName name="LINE520ITEM650">#REF!</definedName>
    <definedName name="LINE520ITEM700">#REF!</definedName>
    <definedName name="LINE520ITEM80">#REF!</definedName>
    <definedName name="LINE520ITEM800">#REF!</definedName>
    <definedName name="LINE520ITEM90">#REF!</definedName>
    <definedName name="LINE520ITEM900">#REF!</definedName>
    <definedName name="LINE520ITEM95">#REF!</definedName>
    <definedName name="LINE520ITEM96">#REF!</definedName>
    <definedName name="LINE520ITEM97">#REF!</definedName>
    <definedName name="LINE520ITEM98">#REF!</definedName>
    <definedName name="LINE520ITEM99">#REF!</definedName>
    <definedName name="LINE530ITEM100">#REF!</definedName>
    <definedName name="LINE530ITEM1000">#REF!</definedName>
    <definedName name="LINE530ITEM1100">#REF!</definedName>
    <definedName name="LINE530ITEM1200">#REF!</definedName>
    <definedName name="LINE530ITEM1250">#REF!</definedName>
    <definedName name="LINE530ITEM200">#REF!</definedName>
    <definedName name="LINE530ITEM300">#REF!</definedName>
    <definedName name="LINE530ITEM400">#REF!</definedName>
    <definedName name="LINE530ITEM500">#REF!</definedName>
    <definedName name="LINE530ITEM600">#REF!</definedName>
    <definedName name="LINE530ITEM650">#REF!</definedName>
    <definedName name="LINE530ITEM700">#REF!</definedName>
    <definedName name="LINE530ITEM800">#REF!</definedName>
    <definedName name="LINE530ITEM900">#REF!</definedName>
    <definedName name="LINE540ITEM100">#REF!</definedName>
    <definedName name="LINE540ITEM1000">#REF!</definedName>
    <definedName name="LINE540ITEM1100">#REF!</definedName>
    <definedName name="LINE540ITEM1200">#REF!</definedName>
    <definedName name="LINE540ITEM1250">#REF!</definedName>
    <definedName name="LINE540ITEM200">#REF!</definedName>
    <definedName name="LINE540ITEM300">#REF!</definedName>
    <definedName name="LINE540ITEM400">#REF!</definedName>
    <definedName name="LINE540ITEM500">#REF!</definedName>
    <definedName name="LINE540ITEM600">#REF!</definedName>
    <definedName name="LINE540ITEM650">#REF!</definedName>
    <definedName name="LINE540ITEM700">#REF!</definedName>
    <definedName name="LINE540ITEM800">#REF!</definedName>
    <definedName name="LINE540ITEM900">#REF!</definedName>
    <definedName name="LINE550ITEM100">#REF!</definedName>
    <definedName name="LINE550ITEM1000">#REF!</definedName>
    <definedName name="LINE550ITEM1100">#REF!</definedName>
    <definedName name="LINE550ITEM1200">#REF!</definedName>
    <definedName name="LINE550ITEM1250">#REF!</definedName>
    <definedName name="LINE550ITEM200">#REF!</definedName>
    <definedName name="LINE550ITEM300">#REF!</definedName>
    <definedName name="LINE550ITEM400">#REF!</definedName>
    <definedName name="LINE550ITEM500">#REF!</definedName>
    <definedName name="LINE550ITEM600">#REF!</definedName>
    <definedName name="LINE550ITEM650">#REF!</definedName>
    <definedName name="LINE550ITEM700">#REF!</definedName>
    <definedName name="LINE550ITEM800">#REF!</definedName>
    <definedName name="LINE550ITEM900">#REF!</definedName>
    <definedName name="LINE560ITEM100">#REF!</definedName>
    <definedName name="LINE560ITEM1000">#REF!</definedName>
    <definedName name="LINE560ITEM1100">#REF!</definedName>
    <definedName name="LINE560ITEM1200">#REF!</definedName>
    <definedName name="LINE560ITEM1250">#REF!</definedName>
    <definedName name="LINE560ITEM200">#REF!</definedName>
    <definedName name="LINE560ITEM300">#REF!</definedName>
    <definedName name="LINE560ITEM400">#REF!</definedName>
    <definedName name="LINE560ITEM500">#REF!</definedName>
    <definedName name="LINE560ITEM600">#REF!</definedName>
    <definedName name="LINE560ITEM650">#REF!</definedName>
    <definedName name="LINE560ITEM700">#REF!</definedName>
    <definedName name="LINE560ITEM800">#REF!</definedName>
    <definedName name="LINE560ITEM900">#REF!</definedName>
    <definedName name="LINE570ITEM100">#REF!</definedName>
    <definedName name="LINE570ITEM1000">#REF!</definedName>
    <definedName name="LINE570ITEM110">#REF!</definedName>
    <definedName name="LINE570ITEM1100">#REF!</definedName>
    <definedName name="LINE570ITEM1200">#REF!</definedName>
    <definedName name="LINE570ITEM1250">#REF!</definedName>
    <definedName name="LINE570ITEM200">#REF!</definedName>
    <definedName name="LINE570ITEM300">#REF!</definedName>
    <definedName name="LINE570ITEM400">#REF!</definedName>
    <definedName name="LINE570ITEM500">#REF!</definedName>
    <definedName name="LINE570ITEM600">#REF!</definedName>
    <definedName name="LINE570ITEM650">#REF!</definedName>
    <definedName name="LINE570ITEM700">#REF!</definedName>
    <definedName name="LINE570ITEM80">#REF!</definedName>
    <definedName name="LINE570ITEM800">#REF!</definedName>
    <definedName name="LINE570ITEM90">#REF!</definedName>
    <definedName name="LINE570ITEM900">#REF!</definedName>
    <definedName name="LINE580ITEM100">#REF!</definedName>
    <definedName name="LINE580ITEM1000">#REF!</definedName>
    <definedName name="LINE580ITEM110">#REF!</definedName>
    <definedName name="LINE580ITEM1100">#REF!</definedName>
    <definedName name="LINE580ITEM1200">#REF!</definedName>
    <definedName name="LINE580ITEM1250">#REF!</definedName>
    <definedName name="LINE580ITEM200">#REF!</definedName>
    <definedName name="LINE580ITEM300">#REF!</definedName>
    <definedName name="LINE580ITEM400">#REF!</definedName>
    <definedName name="LINE580ITEM500">#REF!</definedName>
    <definedName name="LINE580ITEM600">#REF!</definedName>
    <definedName name="LINE580ITEM650">#REF!</definedName>
    <definedName name="LINE580ITEM700">#REF!</definedName>
    <definedName name="LINE580ITEM80">#REF!</definedName>
    <definedName name="LINE580ITEM800">#REF!</definedName>
    <definedName name="LINE580ITEM90">#REF!</definedName>
    <definedName name="LINE580ITEM900">#REF!</definedName>
    <definedName name="LINE590ITEM100">#REF!</definedName>
    <definedName name="LINE590ITEM1000">#REF!</definedName>
    <definedName name="LINE590ITEM110">#REF!</definedName>
    <definedName name="LINE590ITEM1100">#REF!</definedName>
    <definedName name="LINE590ITEM1200">#REF!</definedName>
    <definedName name="LINE590ITEM1250">#REF!</definedName>
    <definedName name="LINE590ITEM200">#REF!</definedName>
    <definedName name="LINE590ITEM300">#REF!</definedName>
    <definedName name="LINE590ITEM400">#REF!</definedName>
    <definedName name="LINE590ITEM500">#REF!</definedName>
    <definedName name="LINE590ITEM600">#REF!</definedName>
    <definedName name="LINE590ITEM650">#REF!</definedName>
    <definedName name="LINE590ITEM700">#REF!</definedName>
    <definedName name="LINE590ITEM80">#REF!</definedName>
    <definedName name="LINE590ITEM800">#REF!</definedName>
    <definedName name="LINE590ITEM90">#REF!</definedName>
    <definedName name="LINE590ITEM900">#REF!</definedName>
    <definedName name="LINE600ITEM100">#REF!</definedName>
    <definedName name="LINE600ITEM1000">#REF!</definedName>
    <definedName name="LINE600ITEM110">#REF!</definedName>
    <definedName name="LINE600ITEM1100">#REF!</definedName>
    <definedName name="LINE600ITEM1200">#REF!</definedName>
    <definedName name="LINE600ITEM1250">#REF!</definedName>
    <definedName name="LINE600ITEM200">#REF!</definedName>
    <definedName name="LINE600ITEM300">#REF!</definedName>
    <definedName name="LINE600ITEM400">#REF!</definedName>
    <definedName name="LINE600ITEM500">#REF!</definedName>
    <definedName name="LINE600ITEM600">#REF!</definedName>
    <definedName name="LINE600ITEM650">#REF!</definedName>
    <definedName name="LINE600ITEM700">#REF!</definedName>
    <definedName name="LINE600ITEM80">#REF!</definedName>
    <definedName name="LINE600ITEM800">#REF!</definedName>
    <definedName name="LINE600ITEM90">#REF!</definedName>
    <definedName name="LINE600ITEM900">#REF!</definedName>
    <definedName name="LINE60ITEM100">#REF!</definedName>
    <definedName name="LINE60ITEM1000">#REF!</definedName>
    <definedName name="LINE60ITEM1100">#REF!</definedName>
    <definedName name="LINE60ITEM1200">#REF!</definedName>
    <definedName name="LINE60ITEM1250">#REF!</definedName>
    <definedName name="LINE60ITEM200">#REF!</definedName>
    <definedName name="LINE60ITEM300">#REF!</definedName>
    <definedName name="LINE60ITEM400">#REF!</definedName>
    <definedName name="LINE60ITEM500">#REF!</definedName>
    <definedName name="LINE60ITEM600">#REF!</definedName>
    <definedName name="LINE60ITEM650">#REF!</definedName>
    <definedName name="LINE60ITEM700">#REF!</definedName>
    <definedName name="LINE60ITEM800">#REF!</definedName>
    <definedName name="LINE60ITEM900">#REF!</definedName>
    <definedName name="LINE610ITEM100">#REF!</definedName>
    <definedName name="LINE610ITEM1000">#REF!</definedName>
    <definedName name="LINE610ITEM110">#REF!</definedName>
    <definedName name="LINE610ITEM1100">#REF!</definedName>
    <definedName name="LINE610ITEM1200">#REF!</definedName>
    <definedName name="LINE610ITEM1250">#REF!</definedName>
    <definedName name="LINE610ITEM200">#REF!</definedName>
    <definedName name="LINE610ITEM300">#REF!</definedName>
    <definedName name="LINE610ITEM400">#REF!</definedName>
    <definedName name="LINE610ITEM500">#REF!</definedName>
    <definedName name="LINE610ITEM600">#REF!</definedName>
    <definedName name="LINE610ITEM650">#REF!</definedName>
    <definedName name="LINE610ITEM700">#REF!</definedName>
    <definedName name="LINE610ITEM80">#REF!</definedName>
    <definedName name="LINE610ITEM800">#REF!</definedName>
    <definedName name="LINE610ITEM90">#REF!</definedName>
    <definedName name="LINE610ITEM900">#REF!</definedName>
    <definedName name="LINE61100ITEM40">#REF!</definedName>
    <definedName name="LINE620ITEM100">#REF!</definedName>
    <definedName name="LINE620ITEM1000">#REF!</definedName>
    <definedName name="LINE620ITEM110">#REF!</definedName>
    <definedName name="LINE620ITEM1100">#REF!</definedName>
    <definedName name="LINE620ITEM1200">#REF!</definedName>
    <definedName name="LINE620ITEM1250">#REF!</definedName>
    <definedName name="LINE620ITEM200">#REF!</definedName>
    <definedName name="LINE620ITEM300">#REF!</definedName>
    <definedName name="LINE620ITEM400">#REF!</definedName>
    <definedName name="LINE620ITEM500">#REF!</definedName>
    <definedName name="LINE620ITEM600">#REF!</definedName>
    <definedName name="LINE620ITEM650">#REF!</definedName>
    <definedName name="LINE620ITEM700">#REF!</definedName>
    <definedName name="LINE620ITEM80">#REF!</definedName>
    <definedName name="LINE620ITEM800">#REF!</definedName>
    <definedName name="LINE620ITEM90">#REF!</definedName>
    <definedName name="LINE620ITEM900">#REF!</definedName>
    <definedName name="LINE630ITEM100">#REF!</definedName>
    <definedName name="LINE630ITEM1000">#REF!</definedName>
    <definedName name="LINE630ITEM110">#REF!</definedName>
    <definedName name="LINE630ITEM1100">#REF!</definedName>
    <definedName name="LINE630ITEM1200">#REF!</definedName>
    <definedName name="LINE630ITEM1250">#REF!</definedName>
    <definedName name="LINE630ITEM200">#REF!</definedName>
    <definedName name="LINE630ITEM300">#REF!</definedName>
    <definedName name="LINE630ITEM400">#REF!</definedName>
    <definedName name="LINE630ITEM500">#REF!</definedName>
    <definedName name="LINE630ITEM600">#REF!</definedName>
    <definedName name="LINE630ITEM650">#REF!</definedName>
    <definedName name="LINE630ITEM700">#REF!</definedName>
    <definedName name="LINE630ITEM80">#REF!</definedName>
    <definedName name="LINE630ITEM800">#REF!</definedName>
    <definedName name="LINE630ITEM90">#REF!</definedName>
    <definedName name="LINE630ITEM900">#REF!</definedName>
    <definedName name="LINE640ITEM100">#REF!</definedName>
    <definedName name="LINE640ITEM1000">#REF!</definedName>
    <definedName name="LINE640ITEM110">#REF!</definedName>
    <definedName name="LINE640ITEM1100">#REF!</definedName>
    <definedName name="LINE640ITEM1200">#REF!</definedName>
    <definedName name="LINE640ITEM1250">#REF!</definedName>
    <definedName name="LINE640ITEM200">#REF!</definedName>
    <definedName name="LINE640ITEM300">#REF!</definedName>
    <definedName name="LINE640ITEM400">#REF!</definedName>
    <definedName name="LINE640ITEM500">#REF!</definedName>
    <definedName name="LINE640ITEM600">#REF!</definedName>
    <definedName name="LINE640ITEM650">#REF!</definedName>
    <definedName name="LINE640ITEM700">#REF!</definedName>
    <definedName name="LINE640ITEM80">#REF!</definedName>
    <definedName name="LINE640ITEM800">#REF!</definedName>
    <definedName name="LINE640ITEM90">#REF!</definedName>
    <definedName name="LINE640ITEM900">#REF!</definedName>
    <definedName name="LINE650ITEM100">#REF!</definedName>
    <definedName name="LINE650ITEM1000">#REF!</definedName>
    <definedName name="LINE650ITEM1100">#REF!</definedName>
    <definedName name="LINE650ITEM1200">#REF!</definedName>
    <definedName name="LINE650ITEM1250">#REF!</definedName>
    <definedName name="LINE650ITEM200">#REF!</definedName>
    <definedName name="LINE650ITEM300">#REF!</definedName>
    <definedName name="LINE650ITEM400">#REF!</definedName>
    <definedName name="LINE650ITEM500">#REF!</definedName>
    <definedName name="LINE650ITEM600">#REF!</definedName>
    <definedName name="LINE650ITEM650">#REF!</definedName>
    <definedName name="LINE650ITEM700">#REF!</definedName>
    <definedName name="LINE650ITEM800">#REF!</definedName>
    <definedName name="LINE650ITEM900">#REF!</definedName>
    <definedName name="LINE65100ITEM40">#REF!</definedName>
    <definedName name="LINE660ITEM100">#REF!</definedName>
    <definedName name="LINE660ITEM1000">#REF!</definedName>
    <definedName name="LINE660ITEM1100">#REF!</definedName>
    <definedName name="LINE660ITEM1200">#REF!</definedName>
    <definedName name="LINE660ITEM1250">#REF!</definedName>
    <definedName name="LINE660ITEM200">#REF!</definedName>
    <definedName name="LINE660ITEM300">#REF!</definedName>
    <definedName name="LINE660ITEM400">#REF!</definedName>
    <definedName name="LINE660ITEM500">#REF!</definedName>
    <definedName name="LINE660ITEM600">#REF!</definedName>
    <definedName name="LINE660ITEM650">#REF!</definedName>
    <definedName name="LINE660ITEM700">#REF!</definedName>
    <definedName name="LINE660ITEM800">#REF!</definedName>
    <definedName name="LINE660ITEM900">#REF!</definedName>
    <definedName name="LINE670ITEM100">#REF!</definedName>
    <definedName name="LINE670ITEM1000">#REF!</definedName>
    <definedName name="LINE670ITEM1100">#REF!</definedName>
    <definedName name="LINE670ITEM1200">#REF!</definedName>
    <definedName name="LINE670ITEM1250">#REF!</definedName>
    <definedName name="LINE670ITEM200">#REF!</definedName>
    <definedName name="LINE670ITEM300">#REF!</definedName>
    <definedName name="LINE670ITEM400">#REF!</definedName>
    <definedName name="LINE670ITEM500">#REF!</definedName>
    <definedName name="LINE670ITEM600">#REF!</definedName>
    <definedName name="LINE670ITEM650">#REF!</definedName>
    <definedName name="LINE670ITEM700">#REF!</definedName>
    <definedName name="LINE670ITEM800">#REF!</definedName>
    <definedName name="LINE670ITEM900">#REF!</definedName>
    <definedName name="LINE680ITEM100">#REF!</definedName>
    <definedName name="LINE680ITEM1000">#REF!</definedName>
    <definedName name="LINE680ITEM110">#REF!</definedName>
    <definedName name="LINE680ITEM1100">#REF!</definedName>
    <definedName name="LINE680ITEM1200">#REF!</definedName>
    <definedName name="LINE680ITEM1250">#REF!</definedName>
    <definedName name="LINE680ITEM200">#REF!</definedName>
    <definedName name="LINE680ITEM300">#REF!</definedName>
    <definedName name="LINE680ITEM400">#REF!</definedName>
    <definedName name="LINE680ITEM500">#REF!</definedName>
    <definedName name="LINE680ITEM600">#REF!</definedName>
    <definedName name="LINE680ITEM650">#REF!</definedName>
    <definedName name="LINE680ITEM700">#REF!</definedName>
    <definedName name="LINE680ITEM80">#REF!</definedName>
    <definedName name="LINE680ITEM800">#REF!</definedName>
    <definedName name="LINE680ITEM90">#REF!</definedName>
    <definedName name="LINE680ITEM900">#REF!</definedName>
    <definedName name="LINE69000ITEM40">#REF!</definedName>
    <definedName name="LINE690ITEM100">#REF!</definedName>
    <definedName name="LINE690ITEM1000">#REF!</definedName>
    <definedName name="LINE690ITEM1100">#REF!</definedName>
    <definedName name="LINE690ITEM1200">#REF!</definedName>
    <definedName name="LINE690ITEM1250">#REF!</definedName>
    <definedName name="LINE690ITEM200">#REF!</definedName>
    <definedName name="LINE690ITEM300">#REF!</definedName>
    <definedName name="LINE690ITEM400">#REF!</definedName>
    <definedName name="LINE690ITEM500">#REF!</definedName>
    <definedName name="LINE690ITEM600">#REF!</definedName>
    <definedName name="LINE690ITEM650">#REF!</definedName>
    <definedName name="LINE690ITEM700">#REF!</definedName>
    <definedName name="LINE690ITEM800">#REF!</definedName>
    <definedName name="LINE690ITEM900">#REF!</definedName>
    <definedName name="LINE700ITEM100">#REF!</definedName>
    <definedName name="LINE700ITEM1000">#REF!</definedName>
    <definedName name="LINE700ITEM1100">#REF!</definedName>
    <definedName name="LINE700ITEM1200">#REF!</definedName>
    <definedName name="LINE700ITEM1250">#REF!</definedName>
    <definedName name="LINE700ITEM200">#REF!</definedName>
    <definedName name="LINE700ITEM300">#REF!</definedName>
    <definedName name="LINE700ITEM400">#REF!</definedName>
    <definedName name="LINE700ITEM500">#REF!</definedName>
    <definedName name="LINE700ITEM600">#REF!</definedName>
    <definedName name="LINE700ITEM650">#REF!</definedName>
    <definedName name="LINE700ITEM700">#REF!</definedName>
    <definedName name="LINE700ITEM800">#REF!</definedName>
    <definedName name="LINE700ITEM900">#REF!</definedName>
    <definedName name="LINE70ITEM100">#REF!</definedName>
    <definedName name="LINE70ITEM1000">#REF!</definedName>
    <definedName name="LINE70ITEM1100">#REF!</definedName>
    <definedName name="LINE70ITEM1200">#REF!</definedName>
    <definedName name="LINE70ITEM1250">#REF!</definedName>
    <definedName name="LINE70ITEM200">#REF!</definedName>
    <definedName name="LINE70ITEM300">#REF!</definedName>
    <definedName name="LINE70ITEM400">#REF!</definedName>
    <definedName name="LINE70ITEM500">#REF!</definedName>
    <definedName name="LINE70ITEM600">#REF!</definedName>
    <definedName name="LINE70ITEM650">#REF!</definedName>
    <definedName name="LINE70ITEM700">#REF!</definedName>
    <definedName name="LINE70ITEM800">#REF!</definedName>
    <definedName name="LINE70ITEM900">#REF!</definedName>
    <definedName name="LINE710ITEM100">#REF!</definedName>
    <definedName name="LINE710ITEM1000">#REF!</definedName>
    <definedName name="LINE710ITEM1100">#REF!</definedName>
    <definedName name="LINE710ITEM1200">#REF!</definedName>
    <definedName name="LINE710ITEM1250">#REF!</definedName>
    <definedName name="LINE710ITEM200">#REF!</definedName>
    <definedName name="LINE710ITEM300">#REF!</definedName>
    <definedName name="LINE710ITEM400">#REF!</definedName>
    <definedName name="LINE710ITEM500">#REF!</definedName>
    <definedName name="LINE710ITEM600">#REF!</definedName>
    <definedName name="LINE710ITEM650">#REF!</definedName>
    <definedName name="LINE710ITEM700">#REF!</definedName>
    <definedName name="LINE710ITEM800">#REF!</definedName>
    <definedName name="LINE710ITEM900">#REF!</definedName>
    <definedName name="LINE71100ITEM60">#REF!</definedName>
    <definedName name="LINE71200ITEM60">#REF!</definedName>
    <definedName name="LINE71300ITEM60">#REF!</definedName>
    <definedName name="LINE71400ITEM60">#REF!</definedName>
    <definedName name="LINE71500ITEM60">#REF!</definedName>
    <definedName name="LINE71600ITEM60">#REF!</definedName>
    <definedName name="LINE71700ITEM60">#REF!</definedName>
    <definedName name="LINE71800ITEM60">#REF!</definedName>
    <definedName name="LINE71900ITEM60">#REF!</definedName>
    <definedName name="LINE72000ITEM60">#REF!</definedName>
    <definedName name="LINE720ITEM100">#REF!</definedName>
    <definedName name="LINE720ITEM1000">#REF!</definedName>
    <definedName name="LINE720ITEM1100">#REF!</definedName>
    <definedName name="LINE720ITEM1200">#REF!</definedName>
    <definedName name="LINE720ITEM1250">#REF!</definedName>
    <definedName name="LINE720ITEM200">#REF!</definedName>
    <definedName name="LINE720ITEM300">#REF!</definedName>
    <definedName name="LINE720ITEM400">#REF!</definedName>
    <definedName name="LINE720ITEM500">#REF!</definedName>
    <definedName name="LINE720ITEM600">#REF!</definedName>
    <definedName name="LINE720ITEM650">#REF!</definedName>
    <definedName name="LINE720ITEM700">#REF!</definedName>
    <definedName name="LINE720ITEM800">#REF!</definedName>
    <definedName name="LINE720ITEM900">#REF!</definedName>
    <definedName name="LINE72100ITEM60">#REF!</definedName>
    <definedName name="LINE72300ITEM60">#REF!</definedName>
    <definedName name="LINE72390ITEM60">#REF!</definedName>
    <definedName name="LINE72400ITEM40">#REF!</definedName>
    <definedName name="LINE72400ITEM60">#REF!</definedName>
    <definedName name="LINE730ITEM100">#REF!</definedName>
    <definedName name="LINE730ITEM1000">#REF!</definedName>
    <definedName name="LINE730ITEM110">#REF!</definedName>
    <definedName name="LINE730ITEM1100">#REF!</definedName>
    <definedName name="LINE730ITEM1200">#REF!</definedName>
    <definedName name="LINE730ITEM1250">#REF!</definedName>
    <definedName name="LINE730ITEM200">#REF!</definedName>
    <definedName name="LINE730ITEM300">#REF!</definedName>
    <definedName name="LINE730ITEM400">#REF!</definedName>
    <definedName name="LINE730ITEM500">#REF!</definedName>
    <definedName name="LINE730ITEM600">#REF!</definedName>
    <definedName name="LINE730ITEM650">#REF!</definedName>
    <definedName name="LINE730ITEM700">#REF!</definedName>
    <definedName name="LINE730ITEM80">#REF!</definedName>
    <definedName name="LINE730ITEM800">#REF!</definedName>
    <definedName name="LINE730ITEM90">#REF!</definedName>
    <definedName name="LINE730ITEM900">#REF!</definedName>
    <definedName name="LINE740ITEM100">#REF!</definedName>
    <definedName name="LINE740ITEM1000">#REF!</definedName>
    <definedName name="LINE740ITEM110">#REF!</definedName>
    <definedName name="LINE740ITEM1100">#REF!</definedName>
    <definedName name="LINE740ITEM1200">#REF!</definedName>
    <definedName name="LINE740ITEM1250">#REF!</definedName>
    <definedName name="LINE740ITEM200">#REF!</definedName>
    <definedName name="LINE740ITEM300">#REF!</definedName>
    <definedName name="LINE740ITEM400">#REF!</definedName>
    <definedName name="LINE740ITEM500">#REF!</definedName>
    <definedName name="LINE740ITEM600">#REF!</definedName>
    <definedName name="LINE740ITEM650">#REF!</definedName>
    <definedName name="LINE740ITEM700">#REF!</definedName>
    <definedName name="LINE740ITEM80">#REF!</definedName>
    <definedName name="LINE740ITEM800">#REF!</definedName>
    <definedName name="LINE740ITEM90">#REF!</definedName>
    <definedName name="LINE740ITEM900">#REF!</definedName>
    <definedName name="LINE750ITEM100">#REF!</definedName>
    <definedName name="LINE750ITEM1000">#REF!</definedName>
    <definedName name="LINE750ITEM110">#REF!</definedName>
    <definedName name="LINE750ITEM1100">#REF!</definedName>
    <definedName name="LINE750ITEM1200">#REF!</definedName>
    <definedName name="LINE750ITEM1250">#REF!</definedName>
    <definedName name="LINE750ITEM200">#REF!</definedName>
    <definedName name="LINE750ITEM300">#REF!</definedName>
    <definedName name="LINE750ITEM400">#REF!</definedName>
    <definedName name="LINE750ITEM500">#REF!</definedName>
    <definedName name="LINE750ITEM600">#REF!</definedName>
    <definedName name="LINE750ITEM650">#REF!</definedName>
    <definedName name="LINE750ITEM700">#REF!</definedName>
    <definedName name="LINE750ITEM80">#REF!</definedName>
    <definedName name="LINE750ITEM800">#REF!</definedName>
    <definedName name="LINE750ITEM90">#REF!</definedName>
    <definedName name="LINE750ITEM900">#REF!</definedName>
    <definedName name="LINE75100ITEM60">#REF!</definedName>
    <definedName name="LINE75200ITEM60">#REF!</definedName>
    <definedName name="LINE75300ITEM60">#REF!</definedName>
    <definedName name="LINE75400ITEM60">#REF!</definedName>
    <definedName name="LINE75500ITEM60">#REF!</definedName>
    <definedName name="LINE75600ITEM60">#REF!</definedName>
    <definedName name="LINE75700ITEM60">#REF!</definedName>
    <definedName name="LINE75800ITEM60">#REF!</definedName>
    <definedName name="LINE75900ITEM60">#REF!</definedName>
    <definedName name="LINE76000ITEM60">#REF!</definedName>
    <definedName name="LINE760ITEM100">#REF!</definedName>
    <definedName name="LINE760ITEM1000">#REF!</definedName>
    <definedName name="LINE760ITEM110">#REF!</definedName>
    <definedName name="LINE760ITEM1100">#REF!</definedName>
    <definedName name="LINE760ITEM1200">#REF!</definedName>
    <definedName name="LINE760ITEM1250">#REF!</definedName>
    <definedName name="LINE760ITEM200">#REF!</definedName>
    <definedName name="LINE760ITEM300">#REF!</definedName>
    <definedName name="LINE760ITEM400">#REF!</definedName>
    <definedName name="LINE760ITEM500">#REF!</definedName>
    <definedName name="LINE760ITEM600">#REF!</definedName>
    <definedName name="LINE760ITEM650">#REF!</definedName>
    <definedName name="LINE760ITEM700">#REF!</definedName>
    <definedName name="LINE760ITEM80">#REF!</definedName>
    <definedName name="LINE760ITEM800">#REF!</definedName>
    <definedName name="LINE760ITEM90">#REF!</definedName>
    <definedName name="LINE760ITEM900">#REF!</definedName>
    <definedName name="LINE76100ITEM60">#REF!</definedName>
    <definedName name="LINE76200ITEM60">#REF!</definedName>
    <definedName name="LINE76300ITEM60">#REF!</definedName>
    <definedName name="LINE76400ITEM60">#REF!</definedName>
    <definedName name="LINE76500ITEM60">#REF!</definedName>
    <definedName name="LINE76600ITEM60">#REF!</definedName>
    <definedName name="LINE76700ITEM60">#REF!</definedName>
    <definedName name="LINE76800ITEM60">#REF!</definedName>
    <definedName name="LINE76900ITEM60">#REF!</definedName>
    <definedName name="LINE77000ITEM60">#REF!</definedName>
    <definedName name="LINE770ITEM100">#REF!</definedName>
    <definedName name="LINE770ITEM1000">#REF!</definedName>
    <definedName name="LINE770ITEM110">#REF!</definedName>
    <definedName name="LINE770ITEM1100">#REF!</definedName>
    <definedName name="LINE770ITEM1200">#REF!</definedName>
    <definedName name="LINE770ITEM1250">#REF!</definedName>
    <definedName name="LINE770ITEM200">#REF!</definedName>
    <definedName name="LINE770ITEM300">#REF!</definedName>
    <definedName name="LINE770ITEM400">#REF!</definedName>
    <definedName name="LINE770ITEM500">#REF!</definedName>
    <definedName name="LINE770ITEM600">#REF!</definedName>
    <definedName name="LINE770ITEM650">#REF!</definedName>
    <definedName name="LINE770ITEM700">#REF!</definedName>
    <definedName name="LINE770ITEM80">#REF!</definedName>
    <definedName name="LINE770ITEM800">#REF!</definedName>
    <definedName name="LINE770ITEM90">#REF!</definedName>
    <definedName name="LINE770ITEM900">#REF!</definedName>
    <definedName name="LINE77100ITEM60">#REF!</definedName>
    <definedName name="LINE77200ITEM60">#REF!</definedName>
    <definedName name="LINE77300ITEM60">#REF!</definedName>
    <definedName name="LINE77500ITEM60">#REF!</definedName>
    <definedName name="LINE77600ITEM60">#REF!</definedName>
    <definedName name="LINE77900ITEM40">#REF!</definedName>
    <definedName name="LINE77900ITEM60">#REF!</definedName>
    <definedName name="LINE78000ITEM40">#REF!</definedName>
    <definedName name="LINE780ITEM100">#REF!</definedName>
    <definedName name="LINE780ITEM1000">#REF!</definedName>
    <definedName name="LINE780ITEM110">#REF!</definedName>
    <definedName name="LINE780ITEM1100">#REF!</definedName>
    <definedName name="LINE780ITEM1200">#REF!</definedName>
    <definedName name="LINE780ITEM1250">#REF!</definedName>
    <definedName name="LINE780ITEM200">#REF!</definedName>
    <definedName name="LINE780ITEM300">#REF!</definedName>
    <definedName name="LINE780ITEM400">#REF!</definedName>
    <definedName name="LINE780ITEM500">#REF!</definedName>
    <definedName name="LINE780ITEM600">#REF!</definedName>
    <definedName name="LINE780ITEM650">#REF!</definedName>
    <definedName name="LINE780ITEM700">#REF!</definedName>
    <definedName name="LINE780ITEM80">#REF!</definedName>
    <definedName name="LINE780ITEM800">#REF!</definedName>
    <definedName name="LINE780ITEM90">#REF!</definedName>
    <definedName name="LINE780ITEM900">#REF!</definedName>
    <definedName name="LINE79000ITEM40">#REF!</definedName>
    <definedName name="LINE790ITEM100">#REF!</definedName>
    <definedName name="LINE790ITEM1000">#REF!</definedName>
    <definedName name="LINE790ITEM110">#REF!</definedName>
    <definedName name="LINE790ITEM1100">#REF!</definedName>
    <definedName name="LINE790ITEM1200">#REF!</definedName>
    <definedName name="LINE790ITEM1250">#REF!</definedName>
    <definedName name="LINE790ITEM200">#REF!</definedName>
    <definedName name="LINE790ITEM300">#REF!</definedName>
    <definedName name="LINE790ITEM400">#REF!</definedName>
    <definedName name="LINE790ITEM500">#REF!</definedName>
    <definedName name="LINE790ITEM600">#REF!</definedName>
    <definedName name="LINE790ITEM650">#REF!</definedName>
    <definedName name="LINE790ITEM700">#REF!</definedName>
    <definedName name="LINE790ITEM80">#REF!</definedName>
    <definedName name="LINE790ITEM800">#REF!</definedName>
    <definedName name="LINE790ITEM90">#REF!</definedName>
    <definedName name="LINE790ITEM900">#REF!</definedName>
    <definedName name="LINE79900ITEM40">#REF!</definedName>
    <definedName name="LINE800ITEM100">#REF!</definedName>
    <definedName name="LINE800ITEM1000">#REF!</definedName>
    <definedName name="LINE800ITEM1100">#REF!</definedName>
    <definedName name="LINE800ITEM1200">#REF!</definedName>
    <definedName name="LINE800ITEM1250">#REF!</definedName>
    <definedName name="LINE800ITEM200">#REF!</definedName>
    <definedName name="LINE800ITEM300">#REF!</definedName>
    <definedName name="LINE800ITEM400">#REF!</definedName>
    <definedName name="LINE800ITEM500">#REF!</definedName>
    <definedName name="LINE800ITEM600">#REF!</definedName>
    <definedName name="LINE800ITEM650">#REF!</definedName>
    <definedName name="LINE800ITEM700">#REF!</definedName>
    <definedName name="LINE800ITEM800">#REF!</definedName>
    <definedName name="LINE800ITEM900">#REF!</definedName>
    <definedName name="LINE80ITEM100">#REF!</definedName>
    <definedName name="LINE80ITEM1000">#REF!</definedName>
    <definedName name="LINE80ITEM1100">#REF!</definedName>
    <definedName name="LINE80ITEM1200">#REF!</definedName>
    <definedName name="LINE80ITEM1250">#REF!</definedName>
    <definedName name="LINE80ITEM200">#REF!</definedName>
    <definedName name="LINE80ITEM300">#REF!</definedName>
    <definedName name="LINE80ITEM400">#REF!</definedName>
    <definedName name="LINE80ITEM500">#REF!</definedName>
    <definedName name="LINE80ITEM600">#REF!</definedName>
    <definedName name="LINE80ITEM650">#REF!</definedName>
    <definedName name="LINE80ITEM700">#REF!</definedName>
    <definedName name="LINE80ITEM800">#REF!</definedName>
    <definedName name="LINE80ITEM900">#REF!</definedName>
    <definedName name="LINE810ITEM100">#REF!</definedName>
    <definedName name="LINE810ITEM1000">#REF!</definedName>
    <definedName name="LINE810ITEM1100">#REF!</definedName>
    <definedName name="LINE810ITEM1200">#REF!</definedName>
    <definedName name="LINE810ITEM1250">#REF!</definedName>
    <definedName name="LINE810ITEM200">#REF!</definedName>
    <definedName name="LINE810ITEM300">#REF!</definedName>
    <definedName name="LINE810ITEM400">#REF!</definedName>
    <definedName name="LINE810ITEM500">#REF!</definedName>
    <definedName name="LINE810ITEM600">#REF!</definedName>
    <definedName name="LINE810ITEM650">#REF!</definedName>
    <definedName name="LINE810ITEM700">#REF!</definedName>
    <definedName name="LINE810ITEM800">#REF!</definedName>
    <definedName name="LINE810ITEM900">#REF!</definedName>
    <definedName name="LINE81110ITEM40">#REF!</definedName>
    <definedName name="LINE81120ITEM40">#REF!</definedName>
    <definedName name="LINE81130ITEM40">#REF!</definedName>
    <definedName name="LINE81140ITEM40">#REF!</definedName>
    <definedName name="LINE81150ITEM40">#REF!</definedName>
    <definedName name="LINE81160ITEM40">#REF!</definedName>
    <definedName name="LINE81170ITEM40">#REF!</definedName>
    <definedName name="LINE81180ITEM40">#REF!</definedName>
    <definedName name="LINE81190ITEM40">#REF!</definedName>
    <definedName name="LINE81200ITEM40">#REF!</definedName>
    <definedName name="LINE81210ITEM40">#REF!</definedName>
    <definedName name="LINE81230ITEM40">#REF!</definedName>
    <definedName name="LINE81900ITEM40">#REF!</definedName>
    <definedName name="LINE820ITEM100">#REF!</definedName>
    <definedName name="LINE820ITEM1000">#REF!</definedName>
    <definedName name="LINE820ITEM1100">#REF!</definedName>
    <definedName name="LINE820ITEM1200">#REF!</definedName>
    <definedName name="LINE820ITEM1250">#REF!</definedName>
    <definedName name="LINE820ITEM200">#REF!</definedName>
    <definedName name="LINE820ITEM300">#REF!</definedName>
    <definedName name="LINE820ITEM400">#REF!</definedName>
    <definedName name="LINE820ITEM500">#REF!</definedName>
    <definedName name="LINE820ITEM600">#REF!</definedName>
    <definedName name="LINE820ITEM650">#REF!</definedName>
    <definedName name="LINE820ITEM700">#REF!</definedName>
    <definedName name="LINE820ITEM800">#REF!</definedName>
    <definedName name="LINE820ITEM900">#REF!</definedName>
    <definedName name="LINE82110ITEM40">#REF!</definedName>
    <definedName name="LINE82120ITEM40">#REF!</definedName>
    <definedName name="LINE82130ITEM40">#REF!</definedName>
    <definedName name="LINE82140ITEM40">#REF!</definedName>
    <definedName name="LINE82150ITEM40">#REF!</definedName>
    <definedName name="LINE82160ITEM40">#REF!</definedName>
    <definedName name="LINE82170ITEM40">#REF!</definedName>
    <definedName name="LINE82180ITEM40">#REF!</definedName>
    <definedName name="LINE82190ITEM40">#REF!</definedName>
    <definedName name="LINE82200ITEM40">#REF!</definedName>
    <definedName name="LINE82210ITEM40">#REF!</definedName>
    <definedName name="LINE82220ITEM40">#REF!</definedName>
    <definedName name="LINE82230ITEM40">#REF!</definedName>
    <definedName name="LINE82240ITEM40">#REF!</definedName>
    <definedName name="LINE82250ITEM40">#REF!</definedName>
    <definedName name="LINE82280ITEM40">#REF!</definedName>
    <definedName name="LINE82900ITEM40">#REF!</definedName>
    <definedName name="LINE83000ITEM40">#REF!</definedName>
    <definedName name="LINE830ITEM100">#REF!</definedName>
    <definedName name="LINE830ITEM1000">#REF!</definedName>
    <definedName name="LINE830ITEM110">#REF!</definedName>
    <definedName name="LINE830ITEM1100">#REF!</definedName>
    <definedName name="LINE830ITEM1200">#REF!</definedName>
    <definedName name="LINE830ITEM1250">#REF!</definedName>
    <definedName name="LINE830ITEM200">#REF!</definedName>
    <definedName name="LINE830ITEM300">#REF!</definedName>
    <definedName name="LINE830ITEM400">#REF!</definedName>
    <definedName name="LINE830ITEM500">#REF!</definedName>
    <definedName name="LINE830ITEM600">#REF!</definedName>
    <definedName name="LINE830ITEM650">#REF!</definedName>
    <definedName name="LINE830ITEM700">#REF!</definedName>
    <definedName name="LINE830ITEM80">#REF!</definedName>
    <definedName name="LINE830ITEM800">#REF!</definedName>
    <definedName name="LINE830ITEM90">#REF!</definedName>
    <definedName name="LINE830ITEM900">#REF!</definedName>
    <definedName name="LINE840ITEM100">#REF!</definedName>
    <definedName name="LINE840ITEM1000">#REF!</definedName>
    <definedName name="LINE840ITEM1100">#REF!</definedName>
    <definedName name="LINE840ITEM1200">#REF!</definedName>
    <definedName name="LINE840ITEM1250">#REF!</definedName>
    <definedName name="LINE840ITEM200">#REF!</definedName>
    <definedName name="LINE840ITEM300">#REF!</definedName>
    <definedName name="LINE840ITEM400">#REF!</definedName>
    <definedName name="LINE840ITEM500">#REF!</definedName>
    <definedName name="LINE840ITEM600">#REF!</definedName>
    <definedName name="LINE840ITEM650">#REF!</definedName>
    <definedName name="LINE840ITEM700">#REF!</definedName>
    <definedName name="LINE840ITEM800">#REF!</definedName>
    <definedName name="LINE840ITEM900">#REF!</definedName>
    <definedName name="LINE84190ITEM40">#REF!</definedName>
    <definedName name="LINE84290ITEM40">#REF!</definedName>
    <definedName name="LINE85000ITEM40">#REF!</definedName>
    <definedName name="LINE850ITEM100">#REF!</definedName>
    <definedName name="LINE850ITEM1000">#REF!</definedName>
    <definedName name="LINE850ITEM1100">#REF!</definedName>
    <definedName name="LINE850ITEM1200">#REF!</definedName>
    <definedName name="LINE850ITEM1250">#REF!</definedName>
    <definedName name="LINE850ITEM200">#REF!</definedName>
    <definedName name="LINE850ITEM300">#REF!</definedName>
    <definedName name="LINE850ITEM400">#REF!</definedName>
    <definedName name="LINE850ITEM500">#REF!</definedName>
    <definedName name="LINE850ITEM600">#REF!</definedName>
    <definedName name="LINE850ITEM650">#REF!</definedName>
    <definedName name="LINE850ITEM700">#REF!</definedName>
    <definedName name="LINE850ITEM800">#REF!</definedName>
    <definedName name="LINE850ITEM900">#REF!</definedName>
    <definedName name="LINE860ITEM100">#REF!</definedName>
    <definedName name="LINE860ITEM1000">#REF!</definedName>
    <definedName name="LINE860ITEM1100">#REF!</definedName>
    <definedName name="LINE860ITEM1200">#REF!</definedName>
    <definedName name="LINE860ITEM1250">#REF!</definedName>
    <definedName name="LINE860ITEM200">#REF!</definedName>
    <definedName name="LINE860ITEM300">#REF!</definedName>
    <definedName name="LINE860ITEM400">#REF!</definedName>
    <definedName name="LINE860ITEM500">#REF!</definedName>
    <definedName name="LINE860ITEM600">#REF!</definedName>
    <definedName name="LINE860ITEM650">#REF!</definedName>
    <definedName name="LINE860ITEM700">#REF!</definedName>
    <definedName name="LINE860ITEM800">#REF!</definedName>
    <definedName name="LINE860ITEM900">#REF!</definedName>
    <definedName name="LINE86100ITEM40">#REF!</definedName>
    <definedName name="LINE86200ITEM40">#REF!</definedName>
    <definedName name="LINE86900ITEM40">#REF!</definedName>
    <definedName name="LINE87000ITEM40">#REF!</definedName>
    <definedName name="LINE870ITEM100">#REF!</definedName>
    <definedName name="LINE870ITEM1000">#REF!</definedName>
    <definedName name="LINE870ITEM1100">#REF!</definedName>
    <definedName name="LINE870ITEM1200">#REF!</definedName>
    <definedName name="LINE870ITEM1250">#REF!</definedName>
    <definedName name="LINE870ITEM1300">#REF!</definedName>
    <definedName name="LINE870ITEM200">#REF!</definedName>
    <definedName name="LINE870ITEM300">#REF!</definedName>
    <definedName name="LINE870ITEM400">#REF!</definedName>
    <definedName name="LINE870ITEM500">#REF!</definedName>
    <definedName name="LINE870ITEM600">#REF!</definedName>
    <definedName name="LINE870ITEM650">#REF!</definedName>
    <definedName name="LINE870ITEM700">#REF!</definedName>
    <definedName name="LINE870ITEM800">#REF!</definedName>
    <definedName name="LINE870ITEM900">#REF!</definedName>
    <definedName name="LINE88000ITEM40">#REF!</definedName>
    <definedName name="LINE880ITEM100">#REF!</definedName>
    <definedName name="LINE880ITEM1000">#REF!</definedName>
    <definedName name="LINE880ITEM110">#REF!</definedName>
    <definedName name="LINE880ITEM1100">#REF!</definedName>
    <definedName name="LINE880ITEM1200">#REF!</definedName>
    <definedName name="LINE880ITEM1250">#REF!</definedName>
    <definedName name="LINE880ITEM200">#REF!</definedName>
    <definedName name="LINE880ITEM300">#REF!</definedName>
    <definedName name="LINE880ITEM400">#REF!</definedName>
    <definedName name="LINE880ITEM500">#REF!</definedName>
    <definedName name="LINE880ITEM600">#REF!</definedName>
    <definedName name="LINE880ITEM650">#REF!</definedName>
    <definedName name="LINE880ITEM700">#REF!</definedName>
    <definedName name="LINE880ITEM80">#REF!</definedName>
    <definedName name="LINE880ITEM800">#REF!</definedName>
    <definedName name="LINE880ITEM90">#REF!</definedName>
    <definedName name="LINE880ITEM900">#REF!</definedName>
    <definedName name="LINE89000ITEM40">#REF!</definedName>
    <definedName name="LINE89001ITEM40">#REF!</definedName>
    <definedName name="LINE890ITEM100">#REF!</definedName>
    <definedName name="LINE890ITEM1000">#REF!</definedName>
    <definedName name="LINE890ITEM110">#REF!</definedName>
    <definedName name="LINE890ITEM1100">#REF!</definedName>
    <definedName name="LINE890ITEM1200">#REF!</definedName>
    <definedName name="LINE890ITEM1250">#REF!</definedName>
    <definedName name="LINE890ITEM200">#REF!</definedName>
    <definedName name="LINE890ITEM300">#REF!</definedName>
    <definedName name="LINE890ITEM400">#REF!</definedName>
    <definedName name="LINE890ITEM500">#REF!</definedName>
    <definedName name="LINE890ITEM600">#REF!</definedName>
    <definedName name="LINE890ITEM650">#REF!</definedName>
    <definedName name="LINE890ITEM700">#REF!</definedName>
    <definedName name="LINE890ITEM80">#REF!</definedName>
    <definedName name="LINE890ITEM800">#REF!</definedName>
    <definedName name="LINE890ITEM90">#REF!</definedName>
    <definedName name="LINE890ITEM900">#REF!</definedName>
    <definedName name="LINE900ITEM100">#REF!</definedName>
    <definedName name="LINE900ITEM1000">#REF!</definedName>
    <definedName name="LINE900ITEM110">#REF!</definedName>
    <definedName name="LINE900ITEM1100">#REF!</definedName>
    <definedName name="LINE900ITEM1200">#REF!</definedName>
    <definedName name="LINE900ITEM1250">#REF!</definedName>
    <definedName name="LINE900ITEM1300">#REF!</definedName>
    <definedName name="LINE900ITEM200">#REF!</definedName>
    <definedName name="LINE900ITEM300">#REF!</definedName>
    <definedName name="LINE900ITEM400">#REF!</definedName>
    <definedName name="LINE900ITEM500">#REF!</definedName>
    <definedName name="LINE900ITEM600">#REF!</definedName>
    <definedName name="LINE900ITEM650">#REF!</definedName>
    <definedName name="LINE900ITEM700">#REF!</definedName>
    <definedName name="LINE900ITEM80">#REF!</definedName>
    <definedName name="LINE900ITEM800">#REF!</definedName>
    <definedName name="LINE900ITEM90">#REF!</definedName>
    <definedName name="LINE900ITEM900">#REF!</definedName>
    <definedName name="LINE90ITEM100">#REF!</definedName>
    <definedName name="LINE90ITEM1000">#REF!</definedName>
    <definedName name="LINE90ITEM1100">#REF!</definedName>
    <definedName name="LINE90ITEM1200">#REF!</definedName>
    <definedName name="LINE90ITEM1250">#REF!</definedName>
    <definedName name="LINE90ITEM200">#REF!</definedName>
    <definedName name="LINE90ITEM300">#REF!</definedName>
    <definedName name="LINE90ITEM400">#REF!</definedName>
    <definedName name="LINE90ITEM500">#REF!</definedName>
    <definedName name="LINE90ITEM600">#REF!</definedName>
    <definedName name="LINE90ITEM650">#REF!</definedName>
    <definedName name="LINE90ITEM700">#REF!</definedName>
    <definedName name="LINE90ITEM800">#REF!</definedName>
    <definedName name="LINE90ITEM900">#REF!</definedName>
    <definedName name="LINE91000ITEM40">#REF!</definedName>
    <definedName name="LINE910ITEM100">#REF!</definedName>
    <definedName name="LINE910ITEM1000">#REF!</definedName>
    <definedName name="LINE910ITEM110">#REF!</definedName>
    <definedName name="LINE910ITEM1100">#REF!</definedName>
    <definedName name="LINE910ITEM1200">#REF!</definedName>
    <definedName name="LINE910ITEM1250">#REF!</definedName>
    <definedName name="LINE910ITEM200">#REF!</definedName>
    <definedName name="LINE910ITEM300">#REF!</definedName>
    <definedName name="LINE910ITEM400">#REF!</definedName>
    <definedName name="LINE910ITEM500">#REF!</definedName>
    <definedName name="LINE910ITEM600">#REF!</definedName>
    <definedName name="LINE910ITEM650">#REF!</definedName>
    <definedName name="LINE910ITEM700">#REF!</definedName>
    <definedName name="LINE910ITEM80">#REF!</definedName>
    <definedName name="LINE910ITEM800">#REF!</definedName>
    <definedName name="LINE910ITEM90">#REF!</definedName>
    <definedName name="LINE910ITEM900">#REF!</definedName>
    <definedName name="LINE91100ITEM40">#REF!</definedName>
    <definedName name="LINE920ITEM100">#REF!</definedName>
    <definedName name="LINE920ITEM1000">#REF!</definedName>
    <definedName name="LINE920ITEM110">#REF!</definedName>
    <definedName name="LINE920ITEM1100">#REF!</definedName>
    <definedName name="LINE920ITEM1200">#REF!</definedName>
    <definedName name="LINE920ITEM1250">#REF!</definedName>
    <definedName name="LINE920ITEM200">#REF!</definedName>
    <definedName name="LINE920ITEM300">#REF!</definedName>
    <definedName name="LINE920ITEM400">#REF!</definedName>
    <definedName name="LINE920ITEM500">#REF!</definedName>
    <definedName name="LINE920ITEM600">#REF!</definedName>
    <definedName name="LINE920ITEM650">#REF!</definedName>
    <definedName name="LINE920ITEM700">#REF!</definedName>
    <definedName name="LINE920ITEM80">#REF!</definedName>
    <definedName name="LINE920ITEM800">#REF!</definedName>
    <definedName name="LINE920ITEM90">#REF!</definedName>
    <definedName name="LINE920ITEM900">#REF!</definedName>
    <definedName name="LINE92100ITEM40">#REF!</definedName>
    <definedName name="LINE92200ITEM40">#REF!</definedName>
    <definedName name="LINE92300ITEM40">#REF!</definedName>
    <definedName name="LINE92400ITEM40">#REF!</definedName>
    <definedName name="LINE92500ITEM40">#REF!</definedName>
    <definedName name="LINE92900ITEM40">#REF!</definedName>
    <definedName name="LINE930ITEM100">#REF!</definedName>
    <definedName name="LINE930ITEM1000">#REF!</definedName>
    <definedName name="LINE930ITEM110">#REF!</definedName>
    <definedName name="LINE930ITEM1100">#REF!</definedName>
    <definedName name="LINE930ITEM1200">#REF!</definedName>
    <definedName name="LINE930ITEM1250">#REF!</definedName>
    <definedName name="LINE930ITEM1300">#REF!</definedName>
    <definedName name="LINE930ITEM200">#REF!</definedName>
    <definedName name="LINE930ITEM300">#REF!</definedName>
    <definedName name="LINE930ITEM400">#REF!</definedName>
    <definedName name="LINE930ITEM500">#REF!</definedName>
    <definedName name="LINE930ITEM600">#REF!</definedName>
    <definedName name="LINE930ITEM650">#REF!</definedName>
    <definedName name="LINE930ITEM700">#REF!</definedName>
    <definedName name="LINE930ITEM80">#REF!</definedName>
    <definedName name="LINE930ITEM800">#REF!</definedName>
    <definedName name="LINE930ITEM90">#REF!</definedName>
    <definedName name="LINE930ITEM900">#REF!</definedName>
    <definedName name="LINE940ITEM100">#REF!</definedName>
    <definedName name="LINE940ITEM110">#REF!</definedName>
    <definedName name="LINE940ITEM80">#REF!</definedName>
    <definedName name="LINE940ITEM90">#REF!</definedName>
    <definedName name="LIQUIDAÇÃO">#REF!</definedName>
    <definedName name="List_SalesAgents">#REF!</definedName>
    <definedName name="List_SalesCategories">#REF!</definedName>
    <definedName name="List_SalesPhases">#REF!</definedName>
    <definedName name="List_SalesRegions">#REF!</definedName>
    <definedName name="LIST50">#REF!</definedName>
    <definedName name="LISTA105">#REF!</definedName>
    <definedName name="ljkuk" hidden="1">{#N/A,#N/A,TRUE,"Relatório"}</definedName>
    <definedName name="ljkuk1" hidden="1">{#N/A,#N/A,TRUE,"Relatório"}</definedName>
    <definedName name="LKAKLSA">#N/A</definedName>
    <definedName name="LL">#REF!</definedName>
    <definedName name="llslldldl">#N/A</definedName>
    <definedName name="lu">#REF!</definedName>
    <definedName name="magno" hidden="1">{#N/A,#N/A,TRUE,"Relatório"}</definedName>
    <definedName name="mAIK">#REF!</definedName>
    <definedName name="Mapa">#REF!</definedName>
    <definedName name="Mapa_Rejeição">#REF!</definedName>
    <definedName name="MAR" hidden="1">{#N/A,#N/A,TRUE,"Relatório"}</definedName>
    <definedName name="MAR.97">#REF!</definedName>
    <definedName name="MARÇ" hidden="1">{#N/A,#N/A,TRUE,"Relatório"}</definedName>
    <definedName name="matriz">#REF!</definedName>
    <definedName name="MAY.97">#REF!</definedName>
    <definedName name="Maykon">#REF!</definedName>
    <definedName name="MaykonProposto">#REF!</definedName>
    <definedName name="MENU">#N/A</definedName>
    <definedName name="MESES">#REF!</definedName>
    <definedName name="META">#REF!</definedName>
    <definedName name="MIX" hidden="1">{#N/A,#N/A,TRUE,"Relatório"}</definedName>
    <definedName name="MM" hidden="1">{#N/A,#N/A,TRUE,"Relatório"}</definedName>
    <definedName name="MMMMM">#N/A</definedName>
    <definedName name="mn" hidden="1">{#N/A,#N/A,TRUE,"Relatório"}</definedName>
    <definedName name="mnm" hidden="1">{#N/A,#N/A,TRUE,"Relatório"}</definedName>
    <definedName name="month">#REF!</definedName>
    <definedName name="n" hidden="1">{#N/A,#N/A,TRUE,"Relatório"}</definedName>
    <definedName name="NativeTimeline_DATA_ATEND">#N/A</definedName>
    <definedName name="Necessidade_2003___Com_Fornecedor">#REF!</definedName>
    <definedName name="new">#N/A</definedName>
    <definedName name="nhnh">#REF!</definedName>
    <definedName name="nmgn" hidden="1">{#N/A,#N/A,TRUE,"Relatório"}</definedName>
    <definedName name="nmgn1" hidden="1">{#N/A,#N/A,TRUE,"Relatório"}</definedName>
    <definedName name="NORI">#REF!</definedName>
    <definedName name="NOVO" hidden="1">{#N/A,#N/A,TRUE,"Relatório"}</definedName>
    <definedName name="novonome" hidden="1">{#N/A,#N/A,TRUE,"Relatório"}</definedName>
    <definedName name="novonome1" hidden="1">{#N/A,#N/A,TRUE,"Relatório"}</definedName>
    <definedName name="nvn" hidden="1">{#N/A,#N/A,TRUE,"Relatório"}</definedName>
    <definedName name="o" hidden="1">{#N/A,#N/A,TRUE,"Relatório"}</definedName>
    <definedName name="ob" hidden="1">{#N/A,#N/A,FALSE,"USOUTBOUND"}</definedName>
    <definedName name="OBS">#REF!</definedName>
    <definedName name="OFICIAL" hidden="1">{#N/A,#N/A,TRUE,"Relatório"}</definedName>
    <definedName name="oi" hidden="1">{#N/A,#N/A,TRUE,"Relatório"}</definedName>
    <definedName name="Olthes">#N/A</definedName>
    <definedName name="OSNAN" hidden="1">{#N/A,#N/A,TRUE,"Relatório"}</definedName>
    <definedName name="OUTROS">#REF!</definedName>
    <definedName name="P">#REF!</definedName>
    <definedName name="PAÍS_DE_ORIGEM">#REF!</definedName>
    <definedName name="PC" hidden="1">{#N/A,#N/A,TRUE,"Relatório"}</definedName>
    <definedName name="PESSOAL">#REF!</definedName>
    <definedName name="PessoalADM">#REF!</definedName>
    <definedName name="PessoalPRD">#REF!</definedName>
    <definedName name="PITER">#REF!</definedName>
    <definedName name="Plano94KiBase">#REF!</definedName>
    <definedName name="Plano94KiCodigoAno">#REF! &amp;#REF!</definedName>
    <definedName name="Plano95kiBase">#REF!</definedName>
    <definedName name="Plano95kiCodigoAno">#REF!&amp;#REF!</definedName>
    <definedName name="plbsconsolidado">#REF!</definedName>
    <definedName name="porque" hidden="1">{#N/A,#N/A,TRUE,"Relatório"}</definedName>
    <definedName name="PP1_HKN">INDEX(_xlfn._xlws.FILTER(#REF!,#REF!=#REF!),,1)</definedName>
    <definedName name="PRAZO">#REF!</definedName>
    <definedName name="PREV.FECHTO">#REF!</definedName>
    <definedName name="Print_Area_MI">#REF!</definedName>
    <definedName name="PRINT_AREA_MI1">#REF!</definedName>
    <definedName name="Print_Titles_MI">#REF!,#REF!</definedName>
    <definedName name="prod">#REF!</definedName>
    <definedName name="PRODUÇÃO">#REF!</definedName>
    <definedName name="q" hidden="1">{#N/A,#N/A,TRUE,"Relatório"}</definedName>
    <definedName name="Q_A">#REF!</definedName>
    <definedName name="Q_B">#REF!</definedName>
    <definedName name="QHBTRQH" hidden="1">{#N/A,#N/A,FALSE,"Instructions";#N/A,#N/A,FALSE,"P&amp;L";#N/A,#N/A,FALSE,"Balance Sheet";#N/A,#N/A,FALSE,"Margins";#N/A,#N/A,FALSE,"Overheads";#N/A,#N/A,FALSE,"Investment Income"}</definedName>
    <definedName name="QP" hidden="1">{#N/A,#N/A,TRUE,"Relatório"}</definedName>
    <definedName name="qq">#REF!</definedName>
    <definedName name="qqq">#REF!</definedName>
    <definedName name="QualValor">#REF!</definedName>
    <definedName name="QWER" hidden="1">{#N/A,#N/A,TRUE,"Relatório"}</definedName>
    <definedName name="qwwq" hidden="1">#REF!</definedName>
    <definedName name="rangebsbanco">#REF!</definedName>
    <definedName name="rangebscnh">#REF!</definedName>
    <definedName name="rangebsconsolidado">#REF!</definedName>
    <definedName name="rangebshs">#REF!</definedName>
    <definedName name="Rangebsleasing">#REF!</definedName>
    <definedName name="rangeflxbanco">#REF!</definedName>
    <definedName name="rangeflxcnh">#REF!</definedName>
    <definedName name="rangeflxconsolidado">#REF!</definedName>
    <definedName name="rangeflxhs">#REF!</definedName>
    <definedName name="rangeflxleasing">#REF!</definedName>
    <definedName name="rangeplbanco">#REF!</definedName>
    <definedName name="rangeplcnh">#REF!</definedName>
    <definedName name="rangeplconsolidado">#REF!</definedName>
    <definedName name="rangeplhs">#REF!</definedName>
    <definedName name="Rangeplleasing">#REF!</definedName>
    <definedName name="rate">#REF!</definedName>
    <definedName name="real">#REF!</definedName>
    <definedName name="REC_DOCTO">#REF!</definedName>
    <definedName name="REF_BANCO">#REF!</definedName>
    <definedName name="REGISTRO_EXP">#REF!</definedName>
    <definedName name="rej">#REF!</definedName>
    <definedName name="RES">#REF!</definedName>
    <definedName name="resultbud">#REF!</definedName>
    <definedName name="resultbudacum">#REF!</definedName>
    <definedName name="resultsoc">#REF!</definedName>
    <definedName name="resultsocacum">#REF!</definedName>
    <definedName name="Resumo" hidden="1">{#N/A,#N/A,TRUE,"Relatório"}</definedName>
    <definedName name="ronaldo">#N/A</definedName>
    <definedName name="rr" hidden="1">{#N/A,#N/A,FALSE,"2001";#N/A,#N/A,FALSE,"2000"}</definedName>
    <definedName name="RRR" hidden="1">{#N/A,#N/A,TRUE,"Relatório"}</definedName>
    <definedName name="RT">#REF!</definedName>
    <definedName name="s" hidden="1">{#N/A,#N/A,TRUE,"Relatório"}</definedName>
    <definedName name="SAD">#REF!</definedName>
    <definedName name="salkasjchgciyh">#N/A</definedName>
    <definedName name="sasa">#REF!</definedName>
    <definedName name="SD">#REF!</definedName>
    <definedName name="SDDSDS">#N/A</definedName>
    <definedName name="SEGURO">#REF!</definedName>
    <definedName name="SeguroHCA">#REF!</definedName>
    <definedName name="SeguroHDA">#REF!</definedName>
    <definedName name="SeguroHTA">#REF!</definedName>
    <definedName name="SEIXDV" hidden="1">{#N/A,#N/A,TRUE,"Relatório"}</definedName>
    <definedName name="SEND_GLOMICMF">#N/A</definedName>
    <definedName name="SEND_GLOMICOR">#N/A</definedName>
    <definedName name="SEND_GLOMICSP">#N/A</definedName>
    <definedName name="SEND_GLOSETMF">#N/A</definedName>
    <definedName name="SEND_GLOSETOR">#N/A</definedName>
    <definedName name="SEND_GLOSETPP">#N/A</definedName>
    <definedName name="SEND_GLOSETSP">#N/A</definedName>
    <definedName name="serra" hidden="1">{#N/A,#N/A,TRUE,"Relatório"}</definedName>
    <definedName name="serra1" hidden="1">{#N/A,#N/A,TRUE,"Relatório"}</definedName>
    <definedName name="serra11" hidden="1">{#N/A,#N/A,TRUE,"Relatório"}</definedName>
    <definedName name="serra12" hidden="1">{#N/A,#N/A,TRUE,"Relatório"}</definedName>
    <definedName name="serra13" hidden="1">{#N/A,#N/A,TRUE,"Relatório"}</definedName>
    <definedName name="serra14" hidden="1">{#N/A,#N/A,TRUE,"Relatório"}</definedName>
    <definedName name="serra16" hidden="1">{#N/A,#N/A,TRUE,"Relatório"}</definedName>
    <definedName name="serra17" hidden="1">{#N/A,#N/A,TRUE,"Relatório"}</definedName>
    <definedName name="serra2" hidden="1">{#N/A,#N/A,TRUE,"Relatório"}</definedName>
    <definedName name="serra22" hidden="1">{#N/A,#N/A,TRUE,"Relatório"}</definedName>
    <definedName name="serra24" hidden="1">{#N/A,#N/A,TRUE,"Relatório"}</definedName>
    <definedName name="serra3" hidden="1">{#N/A,#N/A,TRUE,"Relatório"}</definedName>
    <definedName name="serra333" hidden="1">{#N/A,#N/A,TRUE,"Relatório"}</definedName>
    <definedName name="serra335" hidden="1">{#N/A,#N/A,TRUE,"Relatório"}</definedName>
    <definedName name="serra4" hidden="1">{#N/A,#N/A,TRUE,"Relatório"}</definedName>
    <definedName name="serra44" hidden="1">{#N/A,#N/A,TRUE,"Relatório"}</definedName>
    <definedName name="serra46" hidden="1">{#N/A,#N/A,TRUE,"Relatório"}</definedName>
    <definedName name="serra47" hidden="1">{#N/A,#N/A,TRUE,"Relatório"}</definedName>
    <definedName name="serra5" hidden="1">{#N/A,#N/A,TRUE,"Relatório"}</definedName>
    <definedName name="serra7" hidden="1">{#N/A,#N/A,TRUE,"Relatório"}</definedName>
    <definedName name="serra9" hidden="1">{#N/A,#N/A,TRUE,"Relatório"}</definedName>
    <definedName name="serra90" hidden="1">{#N/A,#N/A,TRUE,"Relatório"}</definedName>
    <definedName name="serrff" hidden="1">{#N/A,#N/A,TRUE,"Relatório"}</definedName>
    <definedName name="serrra14" hidden="1">{#N/A,#N/A,TRUE,"Relatório"}</definedName>
    <definedName name="sff" hidden="1">{#N/A,#N/A,TRUE,"Relatório"}</definedName>
    <definedName name="sffdfd">#N/A</definedName>
    <definedName name="SITUAÇÃO">#REF!</definedName>
    <definedName name="slksaklas">#N/A</definedName>
    <definedName name="solver_adj" hidden="1">#REF!</definedName>
    <definedName name="solver_cvg" hidden="1">0.001</definedName>
    <definedName name="solver_drv" hidden="1">1</definedName>
    <definedName name="solver_est" hidden="1">1</definedName>
    <definedName name="solver_itr" hidden="1">100</definedName>
    <definedName name="solver_lin" hidden="1">2</definedName>
    <definedName name="solver_neg" hidden="1">2</definedName>
    <definedName name="solver_num" hidden="1">0</definedName>
    <definedName name="solver_nwt" hidden="1">1</definedName>
    <definedName name="solver_opt" hidden="1">#REF!</definedName>
    <definedName name="solver_pre" hidden="1">0.000001</definedName>
    <definedName name="solver_scl" hidden="1">2</definedName>
    <definedName name="solver_sho" hidden="1">2</definedName>
    <definedName name="solver_tim" hidden="1">100</definedName>
    <definedName name="solver_tol" hidden="1">0.05</definedName>
    <definedName name="solver_typ" hidden="1">3</definedName>
    <definedName name="solver_val" hidden="1">0</definedName>
    <definedName name="SS">#REF!</definedName>
    <definedName name="ssa">#N/A</definedName>
    <definedName name="ssasa">#N/A</definedName>
    <definedName name="sss">#REF!</definedName>
    <definedName name="sssss">#REF!</definedName>
    <definedName name="SSSSSSSSSSSSSS" hidden="1">{#N/A,#N/A,TRUE,"Relatório"}</definedName>
    <definedName name="Starting_Month">#REF!</definedName>
    <definedName name="SUMARÉ">#REF!</definedName>
    <definedName name="t" hidden="1">{#N/A,#N/A,TRUE,"Relatório"}</definedName>
    <definedName name="T_Dados">#REF!</definedName>
    <definedName name="tabela">#REF!</definedName>
    <definedName name="TACT">#REF!</definedName>
    <definedName name="TANNKA">#REF!</definedName>
    <definedName name="tct">#REF!</definedName>
    <definedName name="Tempo_Inoperante">#REF!</definedName>
    <definedName name="test">#REF!</definedName>
    <definedName name="TESTE">#REF!</definedName>
    <definedName name="tiro">#REF!,#REF!,#REF!,#REF!,#REF!,#REF!</definedName>
    <definedName name="TítuloDaColuna1">#REF!</definedName>
    <definedName name="TÍTULOS_A_IMPRI">#REF!</definedName>
    <definedName name="_xlnm.Print_Titles">#REF!</definedName>
    <definedName name="TLX">#REF!</definedName>
    <definedName name="TORRES">"Caixa de edição 4"</definedName>
    <definedName name="TOTAL">#REF!</definedName>
    <definedName name="Trasp.Mag">#REF!</definedName>
    <definedName name="TXA_CAMB">#REF!</definedName>
    <definedName name="u" hidden="1">{#N/A,#N/A,TRUE,"Relatório"}</definedName>
    <definedName name="ULJHL" hidden="1">{#N/A,#N/A,TRUE,"Relatório"}</definedName>
    <definedName name="UOINDIAKNBASETHAISUPPLY">#REF!</definedName>
    <definedName name="Uol">#N/A</definedName>
    <definedName name="VlrEPIADM">#REF!</definedName>
    <definedName name="VlrEPIPRD">#REF!</definedName>
    <definedName name="VlrTransporte">#REF!</definedName>
    <definedName name="VlrUniformesADM">#REF!</definedName>
    <definedName name="VlrUniformesPRD">#REF!</definedName>
    <definedName name="VlrUnimed">#REF!</definedName>
    <definedName name="VV" hidden="1">#N/A</definedName>
    <definedName name="vvv">#REF!</definedName>
    <definedName name="VVVV" hidden="1">{#N/A,#N/A,TRUE,"Relatório"}</definedName>
    <definedName name="VVVVVV" hidden="1">{#N/A,#N/A,TRUE,"Relatório"}</definedName>
    <definedName name="VVVVVVVVVVVV" hidden="1">{#N/A,#N/A,TRUE,"Relatório"}</definedName>
    <definedName name="VVVVVVVVVVVVVVVVVVVVVVVV" hidden="1">{#N/A,#N/A,TRUE,"Relatório"}</definedName>
    <definedName name="w" hidden="1">{#N/A,#N/A,TRUE,"Relatório"}</definedName>
    <definedName name="why" hidden="1">{#N/A,#N/A,TRUE,"Relatório"}</definedName>
    <definedName name="wqqw">#REF!</definedName>
    <definedName name="wrn.dddddd." hidden="1">{#N/A,#N/A,FALSE,"2001";#N/A,#N/A,FALSE,"2000"}</definedName>
    <definedName name="wrn.DMS." hidden="1">{#N/A,#N/A,FALSE,"SumIS-Month";#N/A,#N/A,FALSE,"SumIS-YTD";#N/A,#N/A,FALSE,"13mop&amp;l";#N/A,#N/A,FALSE,"Fin Update";#N/A,#N/A,FALSE,"Lease Margin";#N/A,#N/A,FALSE,"Rental Margin";#N/A,#N/A,FALSE,"RentRev";#N/A,#N/A,FALSE,"RTSMAINT";#N/A,#N/A,FALSE,"run&amp;fixed";#N/A,#N/A,FALSE,"run&amp;fixed by month";#N/A,#N/A,FALSE,"OpsOH";#N/A,#N/A,FALSE,"MaintCosts"}</definedName>
    <definedName name="wrn.griffin." hidden="1">{#N/A,#N/A,FALSE,"Actual vs Plan &amp; Forecast";#N/A,#N/A,FALSE,"Year Over Year";#N/A,#N/A,FALSE,"Plan Comp";#N/A,#N/A,FALSE,"Actual vs Prior Mo";#N/A,#N/A,FALSE,"Actual vs Forecast"}</definedName>
    <definedName name="wrn.outboundcmi." hidden="1">{#N/A,#N/A,FALSE,"USOUTBOUND"}</definedName>
    <definedName name="wrn.Pipeline." hidden="1">{#N/A,#N/A,FALSE,"Sheet8"}</definedName>
    <definedName name="wrn.Relat._.1." hidden="1">{#N/A,#N/A,TRUE,"Relatório"}</definedName>
    <definedName name="wrn.RWReport1." hidden="1">{#N/A,"S 1000 ",TRUE,"Sheet1";#N/A,"S 2010 ",TRUE,"Sheet1";#N/A,"S 2020 ",TRUE,"Sheet1";#N/A,"S 3010 ",TRUE,"Sheet1";#N/A,"S 3015 ",TRUE,"Sheet1";#N/A,"S 4002 ",TRUE,"Sheet1";#N/A,"S 4016 ",TRUE,"Sheet1";#N/A,"S 4018 ",TRUE,"Sheet1";#N/A,"S 3005 ",TRUE,"Sheet1"}</definedName>
    <definedName name="wrn.Summary." hidden="1">{#N/A,#N/A,FALSE,"Total";#N/A,#N/A,FALSE,"Trend";#N/A,#N/A,FALSE,"Other OH";#N/A,#N/A,FALSE,"HP";#N/A,#N/A,FALSE,"Yard Mgmt"}</definedName>
    <definedName name="wrn.Total." hidden="1">{#N/A,#N/A,FALSE,"P&amp;L";#N/A,#N/A,FALSE,"Balance Sheet";#N/A,#N/A,FALSE,"Margins";#N/A,#N/A,FALSE,"Overheads";#N/A,#N/A,FALSE,"Headcount";#N/A,#N/A,FALSE,"Investment Income"}</definedName>
    <definedName name="wrn.Total._.with._.Inst." hidden="1">{#N/A,#N/A,FALSE,"Instructions";#N/A,#N/A,FALSE,"P&amp;L";#N/A,#N/A,FALSE,"Balance Sheet";#N/A,#N/A,FALSE,"Margins";#N/A,#N/A,FALSE,"Overheads";#N/A,#N/A,FALSE,"Investment Income"}</definedName>
    <definedName name="www">#REF!</definedName>
    <definedName name="x" hidden="1">{#N/A,#N/A,TRUE,"Relatório"}</definedName>
    <definedName name="XSADFADS">#N/A</definedName>
    <definedName name="xxx">#REF!</definedName>
    <definedName name="y" hidden="1">{#N/A,#N/A,TRUE,"Relatório"}</definedName>
    <definedName name="yryrh" hidden="1">{#N/A,#N/A,TRUE,"Relatório"}</definedName>
    <definedName name="yu" hidden="1">{#N/A,#N/A,TRUE,"Relatório"}</definedName>
    <definedName name="Z">#REF!</definedName>
    <definedName name="Z_07274BC0_094B_11D4_BC98_444553540000_.wvu.FilterData" hidden="1">#REF!</definedName>
    <definedName name="あ">#REF!</definedName>
    <definedName name="ああ">#REF!</definedName>
    <definedName name="あああああ">#REF!</definedName>
    <definedName name="か">#REF!</definedName>
    <definedName name="これ">#REF!</definedName>
    <definedName name="さ">#REF!</definedName>
    <definedName name="もう一度">#REF!</definedName>
    <definedName name="ら">#REF!</definedName>
    <definedName name="上対発ﾚｰﾄ">#REF!</definedName>
    <definedName name="再">#REF!</definedName>
    <definedName name="再度">#REF!</definedName>
    <definedName name="別紙３">#REF!</definedName>
    <definedName name="収益">#REF!</definedName>
    <definedName name="台帳に戻る">#REF!</definedName>
    <definedName name="提案レート下実行">#REF!</definedName>
    <definedName name="為替検討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111" i="1" l="1"/>
  <c r="Z120" i="1"/>
  <c r="Z78" i="1"/>
  <c r="Z85" i="1"/>
  <c r="Z94" i="1"/>
  <c r="Z98" i="1"/>
  <c r="Z103" i="1"/>
  <c r="Z100" i="1" s="1"/>
  <c r="Z108" i="1"/>
  <c r="Z46" i="1"/>
  <c r="Z57" i="1"/>
  <c r="Z65" i="1"/>
  <c r="Z70" i="1"/>
  <c r="Z6" i="1"/>
  <c r="V111" i="1"/>
  <c r="V120" i="1"/>
  <c r="V78" i="1"/>
  <c r="V85" i="1"/>
  <c r="V94" i="1"/>
  <c r="V98" i="1"/>
  <c r="V103" i="1"/>
  <c r="V100" i="1" s="1"/>
  <c r="V108" i="1"/>
  <c r="V46" i="1"/>
  <c r="V57" i="1"/>
  <c r="V65" i="1"/>
  <c r="V70" i="1"/>
  <c r="V6" i="1"/>
  <c r="R111" i="1"/>
  <c r="R120" i="1"/>
  <c r="R78" i="1"/>
  <c r="R85" i="1"/>
  <c r="R94" i="1"/>
  <c r="R98" i="1"/>
  <c r="R103" i="1"/>
  <c r="R100" i="1" s="1"/>
  <c r="R108" i="1"/>
  <c r="R46" i="1"/>
  <c r="R57" i="1"/>
  <c r="R65" i="1"/>
  <c r="R70" i="1"/>
  <c r="R6" i="1"/>
  <c r="N111" i="1"/>
  <c r="N120" i="1"/>
  <c r="N78" i="1"/>
  <c r="N85" i="1"/>
  <c r="N94" i="1"/>
  <c r="N98" i="1"/>
  <c r="N103" i="1"/>
  <c r="N100" i="1" s="1"/>
  <c r="N108" i="1"/>
  <c r="N46" i="1"/>
  <c r="N57" i="1"/>
  <c r="N65" i="1"/>
  <c r="N70" i="1"/>
  <c r="N6" i="1"/>
  <c r="J111" i="1"/>
  <c r="J120" i="1"/>
  <c r="J78" i="1"/>
  <c r="J85" i="1"/>
  <c r="J94" i="1"/>
  <c r="J98" i="1"/>
  <c r="J103" i="1"/>
  <c r="J100" i="1" s="1"/>
  <c r="J108" i="1"/>
  <c r="J46" i="1"/>
  <c r="J57" i="1"/>
  <c r="J65" i="1"/>
  <c r="J70" i="1"/>
  <c r="J6" i="1"/>
  <c r="G111" i="1"/>
  <c r="G120" i="1"/>
  <c r="Y111" i="1"/>
  <c r="U111" i="1"/>
  <c r="Q111" i="1"/>
  <c r="M111" i="1"/>
  <c r="AA114" i="1"/>
  <c r="AA113" i="1"/>
  <c r="S120" i="1"/>
  <c r="Y120" i="1"/>
  <c r="X120" i="1"/>
  <c r="U120" i="1"/>
  <c r="T120" i="1"/>
  <c r="Q120" i="1"/>
  <c r="P120" i="1"/>
  <c r="M120" i="1"/>
  <c r="L120" i="1"/>
  <c r="AA49" i="1"/>
  <c r="H120" i="1"/>
  <c r="G110" i="1" l="1"/>
  <c r="AA7" i="1" l="1"/>
  <c r="AC125" i="1"/>
  <c r="AB125" i="1"/>
  <c r="AA125" i="1"/>
  <c r="AC124" i="1"/>
  <c r="AB124" i="1"/>
  <c r="AA124" i="1"/>
  <c r="AC123" i="1"/>
  <c r="AB123" i="1"/>
  <c r="AA123" i="1"/>
  <c r="AC122" i="1"/>
  <c r="AB122" i="1"/>
  <c r="AA122" i="1"/>
  <c r="AC121" i="1"/>
  <c r="AB121" i="1"/>
  <c r="AB120" i="1" s="1"/>
  <c r="AA121" i="1"/>
  <c r="W120" i="1"/>
  <c r="O120" i="1"/>
  <c r="K120" i="1"/>
  <c r="I120" i="1"/>
  <c r="AC119" i="1"/>
  <c r="AB119" i="1"/>
  <c r="AA119" i="1"/>
  <c r="AC118" i="1"/>
  <c r="AB118" i="1"/>
  <c r="AA118" i="1"/>
  <c r="AC117" i="1"/>
  <c r="AB117" i="1"/>
  <c r="AA117" i="1"/>
  <c r="AC116" i="1"/>
  <c r="AB116" i="1"/>
  <c r="AA116" i="1"/>
  <c r="AC115" i="1"/>
  <c r="AB115" i="1"/>
  <c r="AA115" i="1"/>
  <c r="AC114" i="1"/>
  <c r="AB114" i="1"/>
  <c r="AC113" i="1"/>
  <c r="AB113" i="1"/>
  <c r="AC112" i="1"/>
  <c r="AB112" i="1"/>
  <c r="AB111" i="1" s="1"/>
  <c r="AA112" i="1"/>
  <c r="W111" i="1"/>
  <c r="S111" i="1"/>
  <c r="S110" i="1" s="1"/>
  <c r="O111" i="1"/>
  <c r="K111" i="1"/>
  <c r="I111" i="1"/>
  <c r="K110" i="1" l="1"/>
  <c r="O110" i="1"/>
  <c r="W110" i="1"/>
  <c r="AD116" i="1"/>
  <c r="AD112" i="1"/>
  <c r="AD118" i="1"/>
  <c r="AD114" i="1"/>
  <c r="AD113" i="1"/>
  <c r="AD115" i="1"/>
  <c r="AD117" i="1"/>
  <c r="AD119" i="1"/>
  <c r="AC111" i="1"/>
  <c r="AC120" i="1"/>
  <c r="AA120" i="1"/>
  <c r="AD122" i="1"/>
  <c r="AD124" i="1"/>
  <c r="AA111" i="1"/>
  <c r="AD121" i="1"/>
  <c r="AD123" i="1"/>
  <c r="AD125" i="1"/>
  <c r="AA110" i="1" l="1"/>
  <c r="AD111" i="1"/>
  <c r="AD120" i="1"/>
  <c r="AD110" i="1" l="1"/>
  <c r="G70" i="1" l="1"/>
  <c r="K70" i="1"/>
  <c r="O70" i="1"/>
  <c r="S70" i="1"/>
  <c r="W70" i="1"/>
  <c r="AC84" i="1"/>
  <c r="AA84" i="1"/>
  <c r="U108" i="1"/>
  <c r="T108" i="1"/>
  <c r="S108" i="1"/>
  <c r="U103" i="1"/>
  <c r="U100" i="1" s="1"/>
  <c r="T103" i="1"/>
  <c r="S103" i="1"/>
  <c r="T100" i="1"/>
  <c r="S100" i="1"/>
  <c r="U98" i="1"/>
  <c r="T98" i="1"/>
  <c r="S98" i="1"/>
  <c r="U94" i="1"/>
  <c r="T94" i="1"/>
  <c r="S94" i="1"/>
  <c r="U85" i="1"/>
  <c r="T85" i="1"/>
  <c r="S85" i="1"/>
  <c r="U78" i="1"/>
  <c r="T78" i="1"/>
  <c r="S78" i="1"/>
  <c r="Y108" i="1"/>
  <c r="X108" i="1"/>
  <c r="W108" i="1"/>
  <c r="Y103" i="1"/>
  <c r="Y100" i="1" s="1"/>
  <c r="X103" i="1"/>
  <c r="W103" i="1"/>
  <c r="X100" i="1"/>
  <c r="W100" i="1"/>
  <c r="Y98" i="1"/>
  <c r="X98" i="1"/>
  <c r="W98" i="1"/>
  <c r="Y94" i="1"/>
  <c r="X94" i="1"/>
  <c r="W94" i="1"/>
  <c r="Y85" i="1"/>
  <c r="X85" i="1"/>
  <c r="W85" i="1"/>
  <c r="Y78" i="1"/>
  <c r="X78" i="1"/>
  <c r="W78" i="1"/>
  <c r="Q85" i="1"/>
  <c r="P85" i="1"/>
  <c r="M85" i="1"/>
  <c r="L85" i="1"/>
  <c r="AD84" i="1" l="1"/>
  <c r="W77" i="1"/>
  <c r="S77" i="1"/>
  <c r="O100" i="1" l="1"/>
  <c r="O94" i="1"/>
  <c r="O85" i="1"/>
  <c r="K100" i="1"/>
  <c r="K94" i="1"/>
  <c r="K85" i="1"/>
  <c r="G94" i="1"/>
  <c r="G85" i="1"/>
  <c r="O103" i="1"/>
  <c r="P103" i="1"/>
  <c r="L103" i="1"/>
  <c r="M103" i="1"/>
  <c r="P100" i="1"/>
  <c r="G100" i="1"/>
  <c r="M98" i="1"/>
  <c r="AC83" i="1"/>
  <c r="AA83" i="1"/>
  <c r="AC95" i="1"/>
  <c r="AB95" i="1"/>
  <c r="AA95" i="1"/>
  <c r="H100" i="1"/>
  <c r="L100" i="1"/>
  <c r="AA101" i="1"/>
  <c r="AB101" i="1"/>
  <c r="AB100" i="1" s="1"/>
  <c r="AC101" i="1"/>
  <c r="AA102" i="1"/>
  <c r="AB102" i="1"/>
  <c r="AC102" i="1"/>
  <c r="AD83" i="1" l="1"/>
  <c r="AA100" i="1"/>
  <c r="AD95" i="1"/>
  <c r="AD102" i="1"/>
  <c r="AD101" i="1"/>
  <c r="AA96" i="1"/>
  <c r="AB96" i="1"/>
  <c r="AB94" i="1" s="1"/>
  <c r="AC96" i="1"/>
  <c r="AA97" i="1"/>
  <c r="AB97" i="1"/>
  <c r="AC97" i="1"/>
  <c r="Q94" i="1"/>
  <c r="H94" i="1"/>
  <c r="I94" i="1"/>
  <c r="L94" i="1"/>
  <c r="M94" i="1"/>
  <c r="P94" i="1"/>
  <c r="H85" i="1"/>
  <c r="AC107" i="1"/>
  <c r="AB107" i="1"/>
  <c r="AA107" i="1"/>
  <c r="AC106" i="1"/>
  <c r="AB106" i="1"/>
  <c r="AA106" i="1"/>
  <c r="AC105" i="1"/>
  <c r="AB105" i="1"/>
  <c r="AA105" i="1"/>
  <c r="AC104" i="1"/>
  <c r="AB104" i="1"/>
  <c r="AA104" i="1"/>
  <c r="AC93" i="1"/>
  <c r="AB93" i="1"/>
  <c r="AA93" i="1"/>
  <c r="M46" i="1"/>
  <c r="L46" i="1"/>
  <c r="K46" i="1"/>
  <c r="Q46" i="1"/>
  <c r="P46" i="1"/>
  <c r="O46" i="1"/>
  <c r="U46" i="1"/>
  <c r="T46" i="1"/>
  <c r="S46" i="1"/>
  <c r="Y46" i="1"/>
  <c r="X46" i="1"/>
  <c r="W46" i="1"/>
  <c r="G78" i="1"/>
  <c r="H78" i="1"/>
  <c r="I78" i="1"/>
  <c r="K78" i="1"/>
  <c r="L78" i="1"/>
  <c r="M78" i="1"/>
  <c r="O78" i="1"/>
  <c r="P78" i="1"/>
  <c r="Q78" i="1"/>
  <c r="AA79" i="1"/>
  <c r="AC79" i="1"/>
  <c r="AA80" i="1"/>
  <c r="AC80" i="1"/>
  <c r="AA81" i="1"/>
  <c r="AC81" i="1"/>
  <c r="AA82" i="1"/>
  <c r="AC82" i="1"/>
  <c r="AC56" i="1"/>
  <c r="AB56" i="1"/>
  <c r="AA56" i="1"/>
  <c r="AC12" i="1"/>
  <c r="AB12" i="1"/>
  <c r="AA12" i="1"/>
  <c r="Y70" i="1"/>
  <c r="X70" i="1"/>
  <c r="U70" i="1"/>
  <c r="T70" i="1"/>
  <c r="Y65" i="1"/>
  <c r="X65" i="1"/>
  <c r="W65" i="1"/>
  <c r="U65" i="1"/>
  <c r="T65" i="1"/>
  <c r="S65" i="1"/>
  <c r="Y57" i="1"/>
  <c r="X57" i="1"/>
  <c r="W57" i="1"/>
  <c r="U57" i="1"/>
  <c r="T57" i="1"/>
  <c r="S57" i="1"/>
  <c r="W38" i="1"/>
  <c r="S38" i="1"/>
  <c r="W30" i="1"/>
  <c r="S30" i="1"/>
  <c r="W23" i="1"/>
  <c r="S23" i="1"/>
  <c r="W17" i="1"/>
  <c r="S17" i="1"/>
  <c r="Y6" i="1"/>
  <c r="X6" i="1"/>
  <c r="W6" i="1"/>
  <c r="U6" i="1"/>
  <c r="T6" i="1"/>
  <c r="S6" i="1"/>
  <c r="AA94" i="1" l="1"/>
  <c r="AD100" i="1"/>
  <c r="AA103" i="1"/>
  <c r="AD97" i="1"/>
  <c r="AD96" i="1"/>
  <c r="AC94" i="1"/>
  <c r="AD107" i="1"/>
  <c r="AB78" i="1"/>
  <c r="AD80" i="1"/>
  <c r="AD106" i="1"/>
  <c r="AD79" i="1"/>
  <c r="AD93" i="1"/>
  <c r="AD82" i="1"/>
  <c r="AD104" i="1"/>
  <c r="AD105" i="1"/>
  <c r="AD81" i="1"/>
  <c r="AC78" i="1"/>
  <c r="AD56" i="1"/>
  <c r="AA78" i="1"/>
  <c r="S45" i="1"/>
  <c r="S5" i="1"/>
  <c r="AD12" i="1"/>
  <c r="W45" i="1"/>
  <c r="W5" i="1"/>
  <c r="AD94" i="1" l="1"/>
  <c r="AD103" i="1"/>
  <c r="AD78" i="1"/>
  <c r="AC76" i="1"/>
  <c r="AB76" i="1"/>
  <c r="AA76" i="1"/>
  <c r="Q70" i="1"/>
  <c r="P70" i="1"/>
  <c r="Q65" i="1"/>
  <c r="P65" i="1"/>
  <c r="O65" i="1"/>
  <c r="Q57" i="1"/>
  <c r="P57" i="1"/>
  <c r="O57" i="1"/>
  <c r="M70" i="1"/>
  <c r="L70" i="1"/>
  <c r="M65" i="1"/>
  <c r="L65" i="1"/>
  <c r="K65" i="1"/>
  <c r="M57" i="1"/>
  <c r="L57" i="1"/>
  <c r="K57" i="1"/>
  <c r="H70" i="1"/>
  <c r="G46" i="1"/>
  <c r="I46" i="1"/>
  <c r="O38" i="1"/>
  <c r="O30" i="1"/>
  <c r="O23" i="1"/>
  <c r="O17" i="1"/>
  <c r="O6" i="1"/>
  <c r="P6" i="1"/>
  <c r="Q6" i="1"/>
  <c r="AA10" i="1"/>
  <c r="AB10" i="1"/>
  <c r="AC10" i="1"/>
  <c r="O45" i="1" l="1"/>
  <c r="K45" i="1"/>
  <c r="O5" i="1"/>
  <c r="AD76" i="1"/>
  <c r="AD10" i="1"/>
  <c r="AC109" i="1" l="1"/>
  <c r="AB109" i="1"/>
  <c r="AA109" i="1"/>
  <c r="Q108" i="1"/>
  <c r="P108" i="1"/>
  <c r="O108" i="1"/>
  <c r="M108" i="1"/>
  <c r="L108" i="1"/>
  <c r="K108" i="1"/>
  <c r="I108" i="1"/>
  <c r="H108" i="1"/>
  <c r="G108" i="1"/>
  <c r="Q103" i="1"/>
  <c r="Q100" i="1" s="1"/>
  <c r="M100" i="1"/>
  <c r="K103" i="1"/>
  <c r="I103" i="1"/>
  <c r="I100" i="1" s="1"/>
  <c r="H103" i="1"/>
  <c r="G103" i="1"/>
  <c r="Q98" i="1"/>
  <c r="P98" i="1"/>
  <c r="O98" i="1"/>
  <c r="L98" i="1"/>
  <c r="K98" i="1"/>
  <c r="I98" i="1"/>
  <c r="H98" i="1"/>
  <c r="G98" i="1"/>
  <c r="AC92" i="1"/>
  <c r="AB92" i="1"/>
  <c r="AA92" i="1"/>
  <c r="AC91" i="1"/>
  <c r="AB91" i="1"/>
  <c r="AA91" i="1"/>
  <c r="AC90" i="1"/>
  <c r="AB90" i="1"/>
  <c r="AA90" i="1"/>
  <c r="AC89" i="1"/>
  <c r="AB89" i="1"/>
  <c r="AA89" i="1"/>
  <c r="AC88" i="1"/>
  <c r="AB88" i="1"/>
  <c r="AA88" i="1"/>
  <c r="AC87" i="1"/>
  <c r="AB87" i="1"/>
  <c r="AA87" i="1"/>
  <c r="AC86" i="1"/>
  <c r="AB86" i="1"/>
  <c r="AA86" i="1"/>
  <c r="I85" i="1"/>
  <c r="AC75" i="1"/>
  <c r="AB75" i="1"/>
  <c r="AA75" i="1"/>
  <c r="AC74" i="1"/>
  <c r="AB74" i="1"/>
  <c r="AA74" i="1"/>
  <c r="AC73" i="1"/>
  <c r="AB73" i="1"/>
  <c r="AA73" i="1"/>
  <c r="AC72" i="1"/>
  <c r="AB72" i="1"/>
  <c r="AA72" i="1"/>
  <c r="AC71" i="1"/>
  <c r="AB71" i="1"/>
  <c r="AA71" i="1"/>
  <c r="I70" i="1"/>
  <c r="AC69" i="1"/>
  <c r="AB69" i="1"/>
  <c r="AA69" i="1"/>
  <c r="AC68" i="1"/>
  <c r="AB68" i="1"/>
  <c r="AA68" i="1"/>
  <c r="AC67" i="1"/>
  <c r="AB67" i="1"/>
  <c r="AA67" i="1"/>
  <c r="AC66" i="1"/>
  <c r="AB66" i="1"/>
  <c r="AA66" i="1"/>
  <c r="I65" i="1"/>
  <c r="H65" i="1"/>
  <c r="G65" i="1"/>
  <c r="AC64" i="1"/>
  <c r="AB64" i="1"/>
  <c r="AA64" i="1"/>
  <c r="AC63" i="1"/>
  <c r="AB63" i="1"/>
  <c r="AA63" i="1"/>
  <c r="AC62" i="1"/>
  <c r="AB62" i="1"/>
  <c r="AA62" i="1"/>
  <c r="AC61" i="1"/>
  <c r="AB61" i="1"/>
  <c r="AA61" i="1"/>
  <c r="AC60" i="1"/>
  <c r="AB60" i="1"/>
  <c r="AA60" i="1"/>
  <c r="AC59" i="1"/>
  <c r="AB59" i="1"/>
  <c r="AA59" i="1"/>
  <c r="AC58" i="1"/>
  <c r="AB58" i="1"/>
  <c r="AA58" i="1"/>
  <c r="I57" i="1"/>
  <c r="H57" i="1"/>
  <c r="G57" i="1"/>
  <c r="AC55" i="1"/>
  <c r="AB55" i="1"/>
  <c r="AA55" i="1"/>
  <c r="AC54" i="1"/>
  <c r="AB54" i="1"/>
  <c r="AA54" i="1"/>
  <c r="AC53" i="1"/>
  <c r="AB53" i="1"/>
  <c r="AA53" i="1"/>
  <c r="AC52" i="1"/>
  <c r="AB52" i="1"/>
  <c r="AA52" i="1"/>
  <c r="AC51" i="1"/>
  <c r="AB51" i="1"/>
  <c r="AA51" i="1"/>
  <c r="AC50" i="1"/>
  <c r="AB50" i="1"/>
  <c r="AA50" i="1"/>
  <c r="AC49" i="1"/>
  <c r="AB49" i="1"/>
  <c r="AC48" i="1"/>
  <c r="AB48" i="1"/>
  <c r="AA48" i="1"/>
  <c r="AC47" i="1"/>
  <c r="AB47" i="1"/>
  <c r="AA47" i="1"/>
  <c r="H46" i="1"/>
  <c r="G6" i="1"/>
  <c r="AC44" i="1"/>
  <c r="AB44" i="1"/>
  <c r="AA44" i="1"/>
  <c r="AC43" i="1"/>
  <c r="AB43" i="1"/>
  <c r="AA43" i="1"/>
  <c r="AC42" i="1"/>
  <c r="AB42" i="1"/>
  <c r="AA42" i="1"/>
  <c r="AC41" i="1"/>
  <c r="AB41" i="1"/>
  <c r="AA41" i="1"/>
  <c r="AC40" i="1"/>
  <c r="AB40" i="1"/>
  <c r="AA40" i="1"/>
  <c r="AC39" i="1"/>
  <c r="AB39" i="1"/>
  <c r="AA39" i="1"/>
  <c r="K38" i="1"/>
  <c r="G38" i="1"/>
  <c r="AC37" i="1"/>
  <c r="AB37" i="1"/>
  <c r="AA37" i="1"/>
  <c r="AC36" i="1"/>
  <c r="AB36" i="1"/>
  <c r="AA36" i="1"/>
  <c r="AC35" i="1"/>
  <c r="AB35" i="1"/>
  <c r="AA35" i="1"/>
  <c r="AC34" i="1"/>
  <c r="AB34" i="1"/>
  <c r="AA34" i="1"/>
  <c r="AC33" i="1"/>
  <c r="AB33" i="1"/>
  <c r="AA33" i="1"/>
  <c r="AC32" i="1"/>
  <c r="AB32" i="1"/>
  <c r="AA32" i="1"/>
  <c r="AC31" i="1"/>
  <c r="AB31" i="1"/>
  <c r="AA31" i="1"/>
  <c r="K30" i="1"/>
  <c r="G30" i="1"/>
  <c r="AC29" i="1"/>
  <c r="AB29" i="1"/>
  <c r="AA29" i="1"/>
  <c r="AC28" i="1"/>
  <c r="AB28" i="1"/>
  <c r="AA28" i="1"/>
  <c r="AC27" i="1"/>
  <c r="AB27" i="1"/>
  <c r="AA27" i="1"/>
  <c r="AC26" i="1"/>
  <c r="AB26" i="1"/>
  <c r="AA26" i="1"/>
  <c r="AC25" i="1"/>
  <c r="AB25" i="1"/>
  <c r="AA25" i="1"/>
  <c r="AC24" i="1"/>
  <c r="AB24" i="1"/>
  <c r="AA24" i="1"/>
  <c r="K23" i="1"/>
  <c r="G23" i="1"/>
  <c r="AC22" i="1"/>
  <c r="AB22" i="1"/>
  <c r="AA22" i="1"/>
  <c r="AC21" i="1"/>
  <c r="AB21" i="1"/>
  <c r="AA21" i="1"/>
  <c r="AC20" i="1"/>
  <c r="AB20" i="1"/>
  <c r="AA20" i="1"/>
  <c r="AC19" i="1"/>
  <c r="AB19" i="1"/>
  <c r="AA19" i="1"/>
  <c r="AC18" i="1"/>
  <c r="AB18" i="1"/>
  <c r="AA18" i="1"/>
  <c r="K17" i="1"/>
  <c r="G17" i="1"/>
  <c r="AC16" i="1"/>
  <c r="AB16" i="1"/>
  <c r="AA16" i="1"/>
  <c r="AC15" i="1"/>
  <c r="AB15" i="1"/>
  <c r="AA15" i="1"/>
  <c r="AC14" i="1"/>
  <c r="AB14" i="1"/>
  <c r="AA14" i="1"/>
  <c r="AC13" i="1"/>
  <c r="AB13" i="1"/>
  <c r="AA13" i="1"/>
  <c r="AC11" i="1"/>
  <c r="AB11" i="1"/>
  <c r="AA11" i="1"/>
  <c r="AC9" i="1"/>
  <c r="AB9" i="1"/>
  <c r="AA9" i="1"/>
  <c r="AC8" i="1"/>
  <c r="AB8" i="1"/>
  <c r="AA8" i="1"/>
  <c r="AC7" i="1"/>
  <c r="AB7" i="1"/>
  <c r="M6" i="1"/>
  <c r="L6" i="1"/>
  <c r="K6" i="1"/>
  <c r="I6" i="1"/>
  <c r="H6" i="1"/>
  <c r="O77" i="1" l="1"/>
  <c r="AA70" i="1"/>
  <c r="G77" i="1"/>
  <c r="AA85" i="1"/>
  <c r="AB85" i="1"/>
  <c r="AB108" i="1"/>
  <c r="AB65" i="1"/>
  <c r="AB70" i="1"/>
  <c r="AC46" i="1"/>
  <c r="AA46" i="1"/>
  <c r="AB38" i="1"/>
  <c r="G45" i="1"/>
  <c r="K5" i="1"/>
  <c r="G5" i="1"/>
  <c r="AD66" i="1"/>
  <c r="AD13" i="1"/>
  <c r="AD58" i="1"/>
  <c r="AD50" i="1"/>
  <c r="AD55" i="1"/>
  <c r="AD53" i="1"/>
  <c r="AD52" i="1"/>
  <c r="AD89" i="1"/>
  <c r="AD86" i="1"/>
  <c r="AD64" i="1"/>
  <c r="AD74" i="1"/>
  <c r="AD91" i="1"/>
  <c r="AD59" i="1"/>
  <c r="AD71" i="1"/>
  <c r="AD90" i="1"/>
  <c r="AC98" i="1"/>
  <c r="AD92" i="1"/>
  <c r="AD47" i="1"/>
  <c r="AD62" i="1"/>
  <c r="AD68" i="1"/>
  <c r="AD48" i="1"/>
  <c r="AD72" i="1"/>
  <c r="AD69" i="1"/>
  <c r="AD61" i="1"/>
  <c r="AA98" i="1"/>
  <c r="AB57" i="1"/>
  <c r="AA108" i="1"/>
  <c r="AB46" i="1"/>
  <c r="AD67" i="1"/>
  <c r="AB103" i="1"/>
  <c r="AB30" i="1"/>
  <c r="AC70" i="1"/>
  <c r="AB98" i="1"/>
  <c r="AC103" i="1"/>
  <c r="AC100" i="1" s="1"/>
  <c r="AD54" i="1"/>
  <c r="AD51" i="1"/>
  <c r="AD60" i="1"/>
  <c r="AD88" i="1"/>
  <c r="AB6" i="1"/>
  <c r="AB5" i="1" s="1"/>
  <c r="AB17" i="1"/>
  <c r="AD49" i="1"/>
  <c r="AC57" i="1"/>
  <c r="AC65" i="1"/>
  <c r="AD75" i="1"/>
  <c r="AC108" i="1"/>
  <c r="AD63" i="1"/>
  <c r="AB23" i="1"/>
  <c r="AD87" i="1"/>
  <c r="AD109" i="1"/>
  <c r="AC85" i="1"/>
  <c r="AD73" i="1"/>
  <c r="AA57" i="1"/>
  <c r="AA65" i="1"/>
  <c r="AD19" i="1"/>
  <c r="AD34" i="1"/>
  <c r="AD25" i="1"/>
  <c r="AD39" i="1"/>
  <c r="AD18" i="1"/>
  <c r="AD14" i="1"/>
  <c r="AD15" i="1"/>
  <c r="AD16" i="1"/>
  <c r="AD32" i="1"/>
  <c r="AD28" i="1"/>
  <c r="AD40" i="1"/>
  <c r="AD21" i="1"/>
  <c r="AA17" i="1"/>
  <c r="AD33" i="1"/>
  <c r="AC6" i="1"/>
  <c r="AD24" i="1"/>
  <c r="AD43" i="1"/>
  <c r="AD37" i="1"/>
  <c r="AD26" i="1"/>
  <c r="AD29" i="1"/>
  <c r="AD11" i="1"/>
  <c r="AC17" i="1"/>
  <c r="AD7" i="1"/>
  <c r="AD35" i="1"/>
  <c r="AD41" i="1"/>
  <c r="AD44" i="1"/>
  <c r="AA30" i="1"/>
  <c r="AD22" i="1"/>
  <c r="AD27" i="1"/>
  <c r="AD8" i="1"/>
  <c r="AD36" i="1"/>
  <c r="AD42" i="1"/>
  <c r="AC30" i="1"/>
  <c r="AA38" i="1"/>
  <c r="AC23" i="1"/>
  <c r="AC38" i="1"/>
  <c r="AD31" i="1"/>
  <c r="AD20" i="1"/>
  <c r="AD9" i="1"/>
  <c r="AA6" i="1"/>
  <c r="AA23" i="1"/>
  <c r="AA5" i="1" l="1"/>
  <c r="AD70" i="1"/>
  <c r="AD85" i="1"/>
  <c r="AA77" i="1"/>
  <c r="AD46" i="1"/>
  <c r="AA45" i="1"/>
  <c r="AD57" i="1"/>
  <c r="AD98" i="1"/>
  <c r="AD65" i="1"/>
  <c r="AD108" i="1"/>
  <c r="AD38" i="1"/>
  <c r="AD17" i="1"/>
  <c r="AD23" i="1"/>
  <c r="AD6" i="1"/>
  <c r="AD30" i="1"/>
  <c r="AD5" i="1" l="1"/>
  <c r="AD77" i="1"/>
  <c r="AD45" i="1"/>
  <c r="AC5" i="1" l="1"/>
  <c r="K77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Administrador</author>
  </authors>
  <commentList>
    <comment ref="H4" authorId="0" shapeId="0" xr:uid="{4CC2DDF7-88E8-45EA-B48C-E3AA7A539570}">
      <text>
        <r>
          <rPr>
            <b/>
            <sz val="9"/>
            <color indexed="81"/>
            <rFont val="Segoe UI"/>
            <family val="2"/>
          </rPr>
          <t>Administrador:</t>
        </r>
        <r>
          <rPr>
            <sz val="9"/>
            <color indexed="81"/>
            <rFont val="Segoe UI"/>
            <family val="2"/>
          </rPr>
          <t xml:space="preserve">
(KD/Carro/Embal./Palete)</t>
        </r>
      </text>
    </comment>
    <comment ref="L4" authorId="0" shapeId="0" xr:uid="{EFFD56F0-81BF-4A20-99FA-F56B0B169FC9}">
      <text>
        <r>
          <rPr>
            <b/>
            <sz val="9"/>
            <color indexed="81"/>
            <rFont val="Segoe UI"/>
            <family val="2"/>
          </rPr>
          <t>Administrador:</t>
        </r>
        <r>
          <rPr>
            <sz val="9"/>
            <color indexed="81"/>
            <rFont val="Segoe UI"/>
            <family val="2"/>
          </rPr>
          <t xml:space="preserve">
(KD/Carro/Embal./Palete)</t>
        </r>
      </text>
    </comment>
    <comment ref="P4" authorId="0" shapeId="0" xr:uid="{FF6C418C-4ADB-4D27-BF1E-23A400EB5032}">
      <text>
        <r>
          <rPr>
            <b/>
            <sz val="9"/>
            <color indexed="81"/>
            <rFont val="Segoe UI"/>
            <family val="2"/>
          </rPr>
          <t>Administrador:</t>
        </r>
        <r>
          <rPr>
            <sz val="9"/>
            <color indexed="81"/>
            <rFont val="Segoe UI"/>
            <family val="2"/>
          </rPr>
          <t xml:space="preserve">
(KD/Carro/Embal./Palete)</t>
        </r>
      </text>
    </comment>
    <comment ref="T4" authorId="0" shapeId="0" xr:uid="{E25039D6-5D0B-4E9F-904A-8C4558F30B38}">
      <text>
        <r>
          <rPr>
            <b/>
            <sz val="9"/>
            <color indexed="81"/>
            <rFont val="Segoe UI"/>
            <family val="2"/>
          </rPr>
          <t>Administrador:</t>
        </r>
        <r>
          <rPr>
            <sz val="9"/>
            <color indexed="81"/>
            <rFont val="Segoe UI"/>
            <family val="2"/>
          </rPr>
          <t xml:space="preserve">
(KD/Carro/Embal./Palete)</t>
        </r>
      </text>
    </comment>
    <comment ref="X4" authorId="0" shapeId="0" xr:uid="{F0025F71-F93B-45BC-9809-36EA81C9851E}">
      <text>
        <r>
          <rPr>
            <b/>
            <sz val="9"/>
            <color indexed="81"/>
            <rFont val="Segoe UI"/>
            <family val="2"/>
          </rPr>
          <t>Administrador:</t>
        </r>
        <r>
          <rPr>
            <sz val="9"/>
            <color indexed="81"/>
            <rFont val="Segoe UI"/>
            <family val="2"/>
          </rPr>
          <t xml:space="preserve">
(KD/Carro/Embal./Palete)</t>
        </r>
      </text>
    </comment>
    <comment ref="AB4" authorId="0" shapeId="0" xr:uid="{216F44A3-1EDC-40D2-B5A0-4A66F36B4EB3}">
      <text>
        <r>
          <rPr>
            <b/>
            <sz val="9"/>
            <color indexed="81"/>
            <rFont val="Segoe UI"/>
            <family val="2"/>
          </rPr>
          <t>Administrador:</t>
        </r>
        <r>
          <rPr>
            <sz val="9"/>
            <color indexed="81"/>
            <rFont val="Segoe UI"/>
            <family val="2"/>
          </rPr>
          <t xml:space="preserve">
(KD/Carro/Embal./Palete)</t>
        </r>
      </text>
    </comment>
  </commentList>
</comments>
</file>

<file path=xl/sharedStrings.xml><?xml version="1.0" encoding="utf-8"?>
<sst xmlns="http://schemas.openxmlformats.org/spreadsheetml/2006/main" count="1147" uniqueCount="230">
  <si>
    <t>1º Tempo</t>
  </si>
  <si>
    <t>2º Tempo</t>
  </si>
  <si>
    <t>3º Tempo</t>
  </si>
  <si>
    <t>4º Tempo</t>
  </si>
  <si>
    <t>5º Tempo</t>
  </si>
  <si>
    <t>MÉDIA</t>
  </si>
  <si>
    <t>ORIGEM</t>
  </si>
  <si>
    <t>SETOR</t>
  </si>
  <si>
    <t>FUNÇÃO</t>
  </si>
  <si>
    <t>ATIVIDADE</t>
  </si>
  <si>
    <t>Tempo Coletado</t>
  </si>
  <si>
    <t>Uni. Medida</t>
  </si>
  <si>
    <t>Qtd</t>
  </si>
  <si>
    <t>Tempo 1 uni.</t>
  </si>
  <si>
    <t>Importado</t>
  </si>
  <si>
    <t>Recebimento</t>
  </si>
  <si>
    <t>Empilhador</t>
  </si>
  <si>
    <t>Atendimento de KD's da área de Carros</t>
  </si>
  <si>
    <t>RETIRADA DO KD</t>
  </si>
  <si>
    <t>Colaborador desloca-se  para o botão da rampa de recebimento</t>
  </si>
  <si>
    <t>KD</t>
  </si>
  <si>
    <t xml:space="preserve">Colaborador realiza a ativação de rampa de acesso </t>
  </si>
  <si>
    <t xml:space="preserve">Colaborador retorna para a empilhadeira </t>
  </si>
  <si>
    <t>Colaborador acessa o sistema AS400 para iniciar recebimento via sistema da carreta</t>
  </si>
  <si>
    <t>Colaborador  desloca-se para dentro da carreta para pegar o KD</t>
  </si>
  <si>
    <t xml:space="preserve">Colaborador faz leitura da fatura do KD e recebe via sistema AS400 </t>
  </si>
  <si>
    <t xml:space="preserve">Colaborador eleva o KD para iniciar a retirada </t>
  </si>
  <si>
    <t>Colaborador retorna de dentro da carreta  com material</t>
  </si>
  <si>
    <t>Disponibiliza o KD na área de VANNING LAYOUT</t>
  </si>
  <si>
    <t xml:space="preserve">Retorna do VANNING LAYOUT para a carreta para pegar o próximo </t>
  </si>
  <si>
    <t>DISPONIBILIZAÇÃO DE KD EM  FARA (FORMATAÇÃO DE CARRO)</t>
  </si>
  <si>
    <t>Movimentar-se para área de VANNING LAYOUT</t>
  </si>
  <si>
    <t>Pegar KD disponibilizado no VANNING LAYOUT</t>
  </si>
  <si>
    <t xml:space="preserve">Realiza a elevação do KD para iniciar retirada </t>
  </si>
  <si>
    <t xml:space="preserve">Colaborador desloca-se para o inicio da fara de carros </t>
  </si>
  <si>
    <t xml:space="preserve">Colaborador disponibiliza o KD na entrada da área de carros </t>
  </si>
  <si>
    <t>ESTOQUE EM FARA  (FORMATAÇÃO DE CARRO)</t>
  </si>
  <si>
    <t xml:space="preserve">Colaborador desloca-se para área de entrada da fara </t>
  </si>
  <si>
    <t xml:space="preserve">Faz a elevação do KD Disponibilizado na entrada da área de carros  </t>
  </si>
  <si>
    <t xml:space="preserve">Leva o KD para área de fara </t>
  </si>
  <si>
    <t>Realiza o acesso ao sistema AS400 para estocagem do KD</t>
  </si>
  <si>
    <t xml:space="preserve">Realiza a leitura da fatura do KD </t>
  </si>
  <si>
    <t>Colaborador retorna  para área de entrada da fara para pegar outro KD</t>
  </si>
  <si>
    <t>DISPONIBILIZAÇÃO DE KD (BANCADA)</t>
  </si>
  <si>
    <t>Movimenta-se para a área de FARA de KD</t>
  </si>
  <si>
    <t>Procura o KD solicitado na FARA</t>
  </si>
  <si>
    <t>Retira o KD solicitado</t>
  </si>
  <si>
    <t>Devolver KD's excedentes (caso houver)</t>
  </si>
  <si>
    <t>Disponibilizar KD na bancada conforme solicitado</t>
  </si>
  <si>
    <t>Ler etiqueta FARA e KD</t>
  </si>
  <si>
    <t>Realizar transferência do saldo via AS400</t>
  </si>
  <si>
    <t>DESCARTE DE KD C/ RESÍDUO (ÁREA EXTERNA)</t>
  </si>
  <si>
    <t>Movimenta-se para a área de resíduo para pegar o KD</t>
  </si>
  <si>
    <t>Retirar o KD com resíduo para o inicio da área de formatação de carro</t>
  </si>
  <si>
    <t>Levar o KD para a área de resíduo</t>
  </si>
  <si>
    <t>esperar  o guarda realizar a conferência física do KD</t>
  </si>
  <si>
    <t>Manobra  e decarte dentro da área de resíduo</t>
  </si>
  <si>
    <t>Retorna para a área de STAND BY</t>
  </si>
  <si>
    <t>Atendimento de KD's da área de Bancadas</t>
  </si>
  <si>
    <t>Movimentar-se para a área de STANDBY de KD</t>
  </si>
  <si>
    <t>Retirar o KD solicitado</t>
  </si>
  <si>
    <t>Devolver KD's excedentes</t>
  </si>
  <si>
    <t>DESCARTE DE KD VAZIO (ÁREA EXTERNA)</t>
  </si>
  <si>
    <t>Movimentar-se até a bancada conforme LINHA</t>
  </si>
  <si>
    <t>Retirar KD vazio da bancada</t>
  </si>
  <si>
    <t>Levar o KD para a área externa</t>
  </si>
  <si>
    <t>Retornar para a área de STANDBY</t>
  </si>
  <si>
    <t>Movimentar-se para a área de resíduo para pegar o KD</t>
  </si>
  <si>
    <t>Retirar o KD com resíduo</t>
  </si>
  <si>
    <t>Manobrar dentro da área de resíduo</t>
  </si>
  <si>
    <t>Retornar para a área de STAND BY</t>
  </si>
  <si>
    <t>Desconsolidação [Carro]</t>
  </si>
  <si>
    <t>Operador</t>
  </si>
  <si>
    <t>Formatação de itens de Carro</t>
  </si>
  <si>
    <t xml:space="preserve">IMPRESSÃO DE ETIQUETA DO KD </t>
  </si>
  <si>
    <t xml:space="preserve">Colaborador desloca-se para parte de trás do KD </t>
  </si>
  <si>
    <t xml:space="preserve">Acessa  sistema AS400 para iniciar a impressão das etiquetas </t>
  </si>
  <si>
    <t>Realiza leitura da fatura do KD e inicia a impressão</t>
  </si>
  <si>
    <t xml:space="preserve">Desloca-se para impressora </t>
  </si>
  <si>
    <t xml:space="preserve">Aguarda a impressão das etiquetas </t>
  </si>
  <si>
    <t xml:space="preserve">Desloca-se em direção ao alimentador e entrega as etiquetas </t>
  </si>
  <si>
    <t>ABRIR KD</t>
  </si>
  <si>
    <t>Pegar a parafusadeira</t>
  </si>
  <si>
    <t xml:space="preserve">Retirar os parafusos do KD </t>
  </si>
  <si>
    <t>Descartar  parafusos</t>
  </si>
  <si>
    <t xml:space="preserve">Remover estrutura do KD </t>
  </si>
  <si>
    <t>Retirar resíduos de papelão</t>
  </si>
  <si>
    <t>Colocar proteções nas arestas do KD</t>
  </si>
  <si>
    <t>Descartar os papelões no KD de resíduo</t>
  </si>
  <si>
    <t>Retornar para a bancada</t>
  </si>
  <si>
    <t>BUSCAR CARRO EXCLUSIVO (VAZIO)</t>
  </si>
  <si>
    <t>Colaboradora desloca-se para area de carros vazios</t>
  </si>
  <si>
    <t>CARRO</t>
  </si>
  <si>
    <t>Pegar carro vazio</t>
  </si>
  <si>
    <t>FORMATAÇÃO ITEM A ITEM</t>
  </si>
  <si>
    <t>POSICIONAMENTO DO CARRO NA ÁREA DE CARRO FORMATADO</t>
  </si>
  <si>
    <t>Posicionar o carro na área de carros formatados</t>
  </si>
  <si>
    <t>DESCARTE DO RESÍDUO DE PAPELÃO DO KD</t>
  </si>
  <si>
    <t>Retirar as proteções do KD</t>
  </si>
  <si>
    <t>Pegar as proteções de papelão (frontal / lateral / superior)</t>
  </si>
  <si>
    <t>Descartar as proteções na área de resíduo</t>
  </si>
  <si>
    <t>DESCARTE DA TRAVESSA METÁLICA DO KD</t>
  </si>
  <si>
    <t>Pegar as travessas (frontais / superiores) e posicionar no KD</t>
  </si>
  <si>
    <t>Controlador</t>
  </si>
  <si>
    <t>Baixa de Carro Exclusivo</t>
  </si>
  <si>
    <t>Acessa o sistema AS400 com o coletor para realizar a baixa do material (F2).</t>
  </si>
  <si>
    <t>Com o sistema AS400 aberto, realizar o processo de impressão do LLI e PSV (ENTER + F2).</t>
  </si>
  <si>
    <t>Desloca-se até a impressora.</t>
  </si>
  <si>
    <t>Pega a impressão da LLI e PSV.</t>
  </si>
  <si>
    <t>Retorna para o carro.</t>
  </si>
  <si>
    <t>Retirar um pedaço de fita e fixa LLI e PSV</t>
  </si>
  <si>
    <t>Acessar o sistema AS 400 para realizar a leitura da locação no picking</t>
  </si>
  <si>
    <t>Realizar a leitura de locação</t>
  </si>
  <si>
    <t>Realizar leitura do LLI</t>
  </si>
  <si>
    <t>Não realizado</t>
  </si>
  <si>
    <t>Pendência</t>
  </si>
  <si>
    <t>Em andamento</t>
  </si>
  <si>
    <t>Aprovado</t>
  </si>
  <si>
    <t>Concluído</t>
  </si>
  <si>
    <t>BAIXA DE CARRO</t>
  </si>
  <si>
    <t>Colaborador desloca-se para o carro pendente de baixa</t>
  </si>
  <si>
    <t>Colaborador retorna para área de carros pendentes de baixa</t>
  </si>
  <si>
    <t xml:space="preserve"> LOCAÇÃO DE  CARRO FORMATADO EM  ÁREA DE PICKING </t>
  </si>
  <si>
    <t>Deslocar-se com o carro até o layout de locação no picking</t>
  </si>
  <si>
    <t xml:space="preserve">Realiza a leitura do item para  iniciar a impressão da LLI </t>
  </si>
  <si>
    <t>Obs. (QTD IK's/Carros)</t>
  </si>
  <si>
    <t>ID</t>
  </si>
  <si>
    <t>1.1</t>
  </si>
  <si>
    <t>1.1.1</t>
  </si>
  <si>
    <t>1.1.2</t>
  </si>
  <si>
    <t>1.1.3</t>
  </si>
  <si>
    <t>1.1.4</t>
  </si>
  <si>
    <t>1.1.5</t>
  </si>
  <si>
    <t>1.1.6</t>
  </si>
  <si>
    <t>1.1.7</t>
  </si>
  <si>
    <t>1.1.8</t>
  </si>
  <si>
    <t>1.1.9</t>
  </si>
  <si>
    <t>1.1.10</t>
  </si>
  <si>
    <t>2.1</t>
  </si>
  <si>
    <t>2.2</t>
  </si>
  <si>
    <t>2.3</t>
  </si>
  <si>
    <t>2.4</t>
  </si>
  <si>
    <t>2.5</t>
  </si>
  <si>
    <t>3.1</t>
  </si>
  <si>
    <t>3.2</t>
  </si>
  <si>
    <t>3.3</t>
  </si>
  <si>
    <t>3.4</t>
  </si>
  <si>
    <t>3.5</t>
  </si>
  <si>
    <t>3.6</t>
  </si>
  <si>
    <t>4.1</t>
  </si>
  <si>
    <t>4.2</t>
  </si>
  <si>
    <t>4.3</t>
  </si>
  <si>
    <t>4.4</t>
  </si>
  <si>
    <t>4.5</t>
  </si>
  <si>
    <t>4.6</t>
  </si>
  <si>
    <t>4.7</t>
  </si>
  <si>
    <t>5.1</t>
  </si>
  <si>
    <t>5.2</t>
  </si>
  <si>
    <t>5.3</t>
  </si>
  <si>
    <t>5.4</t>
  </si>
  <si>
    <t>5.5</t>
  </si>
  <si>
    <t>5.6</t>
  </si>
  <si>
    <t>6.1</t>
  </si>
  <si>
    <t>6.2</t>
  </si>
  <si>
    <t>6.3</t>
  </si>
  <si>
    <t>6.4</t>
  </si>
  <si>
    <t>6.5</t>
  </si>
  <si>
    <t>6.6</t>
  </si>
  <si>
    <t>6.7</t>
  </si>
  <si>
    <t>6.8</t>
  </si>
  <si>
    <t>6.9</t>
  </si>
  <si>
    <t>6.10</t>
  </si>
  <si>
    <t>6.11</t>
  </si>
  <si>
    <t>7.1</t>
  </si>
  <si>
    <t>7.2</t>
  </si>
  <si>
    <t>7.3</t>
  </si>
  <si>
    <t>7.4</t>
  </si>
  <si>
    <t>7.5</t>
  </si>
  <si>
    <t>7.6</t>
  </si>
  <si>
    <t>7.7</t>
  </si>
  <si>
    <t>8.1</t>
  </si>
  <si>
    <t>8.2</t>
  </si>
  <si>
    <t>8.3</t>
  </si>
  <si>
    <t>8.4</t>
  </si>
  <si>
    <t>9.1</t>
  </si>
  <si>
    <t>9.2</t>
  </si>
  <si>
    <t>9.3</t>
  </si>
  <si>
    <t>9.4</t>
  </si>
  <si>
    <t>9.5</t>
  </si>
  <si>
    <t>9.6</t>
  </si>
  <si>
    <t>10.1</t>
  </si>
  <si>
    <t>10.2</t>
  </si>
  <si>
    <t>10.3</t>
  </si>
  <si>
    <t>10.4</t>
  </si>
  <si>
    <t>10.5</t>
  </si>
  <si>
    <t>10.6</t>
  </si>
  <si>
    <t>10.7</t>
  </si>
  <si>
    <t>11.1</t>
  </si>
  <si>
    <t>11.2</t>
  </si>
  <si>
    <t>11.3</t>
  </si>
  <si>
    <t>11.4</t>
  </si>
  <si>
    <t>11.5</t>
  </si>
  <si>
    <t>11.6</t>
  </si>
  <si>
    <t>11.7</t>
  </si>
  <si>
    <t>11.8</t>
  </si>
  <si>
    <t>12.1</t>
  </si>
  <si>
    <t>12.2</t>
  </si>
  <si>
    <t>12.3</t>
  </si>
  <si>
    <t>13.1</t>
  </si>
  <si>
    <t>14.1</t>
  </si>
  <si>
    <t>14.2</t>
  </si>
  <si>
    <t>15.1</t>
  </si>
  <si>
    <t>15.2</t>
  </si>
  <si>
    <t>15.3</t>
  </si>
  <si>
    <t>15.4</t>
  </si>
  <si>
    <t>16.1</t>
  </si>
  <si>
    <t>17.1</t>
  </si>
  <si>
    <t>17.2</t>
  </si>
  <si>
    <t>17.3</t>
  </si>
  <si>
    <t>17.4</t>
  </si>
  <si>
    <t>17.5</t>
  </si>
  <si>
    <t>17.6</t>
  </si>
  <si>
    <t>17.7</t>
  </si>
  <si>
    <t>17.8</t>
  </si>
  <si>
    <t>17.9</t>
  </si>
  <si>
    <t>18.1</t>
  </si>
  <si>
    <t>18.2</t>
  </si>
  <si>
    <t>18.3</t>
  </si>
  <si>
    <t>18.4</t>
  </si>
  <si>
    <t>18.5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</si>
</sst>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"/>
  </numFmts>
  <fonts count="15" x14ac:knownFonts="1">
    <font>
      <sz val="11"/>
      <color theme="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sz val="11"/>
      <color theme="1"/>
      <name val="Meiryo"/>
      <family val="2"/>
    </font>
    <font>
      <b/>
      <sz val="11"/>
      <color theme="0"/>
      <name val="Meiryo"/>
      <family val="2"/>
    </font>
    <font>
      <sz val="11"/>
      <color theme="0"/>
      <name val="Meiryo"/>
      <family val="2"/>
    </font>
    <font>
      <sz val="11"/>
      <name val="Meiryo"/>
      <family val="2"/>
    </font>
    <font>
      <b/>
      <sz val="11"/>
      <color theme="1"/>
      <name val="Meiryo"/>
      <family val="2"/>
    </font>
    <font>
      <u/>
      <sz val="11"/>
      <color theme="10"/>
      <name val="Calibri"/>
      <family val="2"/>
      <scheme val="minor"/>
    </font>
    <font>
      <sz val="11"/>
      <color theme="1"/>
      <name val="Meiryo"/>
    </font>
    <font>
      <sz val="11"/>
      <color rgb="FF000000"/>
      <name val="Meiryo"/>
      <family val="2"/>
    </font>
    <font>
      <sz val="11"/>
      <color theme="0"/>
      <name val="Meiryo"/>
    </font>
    <font>
      <b/>
      <sz val="11"/>
      <color theme="0"/>
      <name val="Meiryo"/>
    </font>
    <font>
      <b/>
      <sz val="11"/>
      <color theme="1"/>
      <name val="Meiryo"/>
      <family val="2"/>
      <charset val="128"/>
    </font>
    <font>
      <sz val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D9E1F2"/>
        <bgColor rgb="FF0000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50">
    <xf numFmtId="0" fontId="0" fillId="0" borderId="0" xfId="0"/>
    <xf numFmtId="0" fontId="3" fillId="0" borderId="1" xfId="0" applyFont="1" applyBorder="1"/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6" fillId="6" borderId="1" xfId="0" applyFont="1" applyFill="1" applyBorder="1" applyAlignment="1">
      <alignment vertical="center" wrapText="1"/>
    </xf>
    <xf numFmtId="0" fontId="5" fillId="7" borderId="1" xfId="1" applyFont="1" applyFill="1" applyBorder="1"/>
    <xf numFmtId="0" fontId="5" fillId="9" borderId="1" xfId="1" applyFont="1" applyFill="1" applyBorder="1"/>
    <xf numFmtId="0" fontId="5" fillId="10" borderId="1" xfId="1" applyFont="1" applyFill="1" applyBorder="1"/>
    <xf numFmtId="0" fontId="5" fillId="8" borderId="1" xfId="1" applyFont="1" applyFill="1" applyBorder="1"/>
    <xf numFmtId="0" fontId="4" fillId="5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 applyProtection="1">
      <alignment horizontal="center" vertical="center"/>
      <protection locked="0"/>
    </xf>
    <xf numFmtId="165" fontId="5" fillId="2" borderId="1" xfId="0" applyNumberFormat="1" applyFont="1" applyFill="1" applyBorder="1" applyAlignment="1" applyProtection="1">
      <alignment horizontal="center" vertical="center"/>
      <protection locked="0"/>
    </xf>
    <xf numFmtId="0" fontId="3" fillId="3" borderId="1" xfId="0" applyFont="1" applyFill="1" applyBorder="1" applyAlignment="1" applyProtection="1">
      <alignment horizontal="center" vertical="center"/>
      <protection locked="0"/>
    </xf>
    <xf numFmtId="165" fontId="3" fillId="3" borderId="1" xfId="0" applyNumberFormat="1" applyFont="1" applyFill="1" applyBorder="1" applyAlignment="1" applyProtection="1">
      <alignment horizontal="center" vertical="center"/>
      <protection locked="0"/>
    </xf>
    <xf numFmtId="164" fontId="3" fillId="0" borderId="1" xfId="0" applyNumberFormat="1" applyFont="1" applyBorder="1" applyAlignment="1">
      <alignment horizontal="center" vertical="center"/>
    </xf>
    <xf numFmtId="164" fontId="3" fillId="3" borderId="1" xfId="0" applyNumberFormat="1" applyFont="1" applyFill="1" applyBorder="1" applyAlignment="1" applyProtection="1">
      <alignment horizontal="center" vertical="center"/>
      <protection locked="0"/>
    </xf>
    <xf numFmtId="0" fontId="3" fillId="0" borderId="1" xfId="0" applyFont="1" applyBorder="1" applyAlignment="1">
      <alignment horizontal="center" vertical="center"/>
    </xf>
    <xf numFmtId="0" fontId="4" fillId="5" borderId="1" xfId="0" applyFont="1" applyFill="1" applyBorder="1" applyAlignment="1">
      <alignment vertical="center"/>
    </xf>
    <xf numFmtId="0" fontId="5" fillId="2" borderId="1" xfId="0" applyFont="1" applyFill="1" applyBorder="1" applyAlignment="1">
      <alignment vertical="center"/>
    </xf>
    <xf numFmtId="0" fontId="5" fillId="2" borderId="1" xfId="1" applyFont="1" applyFill="1" applyBorder="1" applyAlignment="1">
      <alignment vertical="center"/>
    </xf>
    <xf numFmtId="0" fontId="5" fillId="0" borderId="1" xfId="0" applyFont="1" applyBorder="1" applyAlignment="1">
      <alignment vertical="center"/>
    </xf>
    <xf numFmtId="0" fontId="6" fillId="3" borderId="1" xfId="0" applyFont="1" applyFill="1" applyBorder="1" applyAlignment="1" applyProtection="1">
      <alignment vertical="center"/>
      <protection locked="0"/>
    </xf>
    <xf numFmtId="0" fontId="6" fillId="0" borderId="1" xfId="0" applyFont="1" applyBorder="1" applyAlignment="1" applyProtection="1">
      <alignment horizontal="left" vertical="center"/>
      <protection locked="0"/>
    </xf>
    <xf numFmtId="165" fontId="3" fillId="0" borderId="1" xfId="0" applyNumberFormat="1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6" fillId="3" borderId="1" xfId="0" applyFont="1" applyFill="1" applyBorder="1" applyAlignment="1" applyProtection="1">
      <alignment horizontal="left" vertical="center"/>
      <protection locked="0"/>
    </xf>
    <xf numFmtId="0" fontId="6" fillId="0" borderId="1" xfId="0" applyFont="1" applyBorder="1" applyAlignment="1" applyProtection="1">
      <alignment vertical="center"/>
      <protection locked="0"/>
    </xf>
    <xf numFmtId="0" fontId="6" fillId="4" borderId="1" xfId="0" applyFont="1" applyFill="1" applyBorder="1" applyAlignment="1" applyProtection="1">
      <alignment vertical="center"/>
      <protection locked="0"/>
    </xf>
    <xf numFmtId="165" fontId="3" fillId="0" borderId="0" xfId="0" applyNumberFormat="1" applyFont="1" applyAlignment="1">
      <alignment horizontal="center" vertical="center"/>
    </xf>
    <xf numFmtId="165" fontId="6" fillId="4" borderId="1" xfId="0" applyNumberFormat="1" applyFont="1" applyFill="1" applyBorder="1" applyAlignment="1" applyProtection="1">
      <alignment horizontal="center" vertical="center"/>
      <protection locked="0"/>
    </xf>
    <xf numFmtId="165" fontId="9" fillId="3" borderId="1" xfId="0" applyNumberFormat="1" applyFont="1" applyFill="1" applyBorder="1" applyAlignment="1" applyProtection="1">
      <alignment horizontal="center" vertical="center"/>
      <protection locked="0"/>
    </xf>
    <xf numFmtId="0" fontId="6" fillId="0" borderId="2" xfId="0" applyFont="1" applyBorder="1"/>
    <xf numFmtId="0" fontId="6" fillId="11" borderId="2" xfId="0" applyFont="1" applyFill="1" applyBorder="1"/>
    <xf numFmtId="165" fontId="11" fillId="2" borderId="1" xfId="0" applyNumberFormat="1" applyFont="1" applyFill="1" applyBorder="1" applyAlignment="1" applyProtection="1">
      <alignment horizontal="center" vertical="center"/>
      <protection locked="0"/>
    </xf>
    <xf numFmtId="0" fontId="11" fillId="2" borderId="1" xfId="0" applyFont="1" applyFill="1" applyBorder="1" applyAlignment="1" applyProtection="1">
      <alignment horizontal="center" vertical="center"/>
      <protection locked="0"/>
    </xf>
    <xf numFmtId="0" fontId="9" fillId="3" borderId="1" xfId="0" applyFont="1" applyFill="1" applyBorder="1" applyAlignment="1" applyProtection="1">
      <alignment horizontal="center" vertical="center"/>
      <protection locked="0"/>
    </xf>
    <xf numFmtId="164" fontId="9" fillId="3" borderId="1" xfId="0" applyNumberFormat="1" applyFont="1" applyFill="1" applyBorder="1" applyAlignment="1" applyProtection="1">
      <alignment horizontal="center" vertical="center"/>
      <protection locked="0"/>
    </xf>
    <xf numFmtId="165" fontId="9" fillId="0" borderId="1" xfId="0" applyNumberFormat="1" applyFont="1" applyBorder="1" applyAlignment="1" applyProtection="1">
      <alignment horizontal="center" vertical="center"/>
      <protection locked="0"/>
    </xf>
    <xf numFmtId="0" fontId="9" fillId="0" borderId="1" xfId="0" applyFont="1" applyBorder="1" applyAlignment="1" applyProtection="1">
      <alignment horizontal="center" vertical="center"/>
      <protection locked="0"/>
    </xf>
    <xf numFmtId="164" fontId="9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6" fillId="9" borderId="1" xfId="0" applyFont="1" applyFill="1" applyBorder="1" applyAlignment="1" applyProtection="1">
      <alignment vertical="center"/>
      <protection locked="0"/>
    </xf>
    <xf numFmtId="164" fontId="9" fillId="0" borderId="1" xfId="0" applyNumberFormat="1" applyFont="1" applyBorder="1" applyAlignment="1" applyProtection="1">
      <alignment horizontal="center" vertical="center"/>
      <protection locked="0"/>
    </xf>
    <xf numFmtId="165" fontId="4" fillId="5" borderId="2" xfId="0" applyNumberFormat="1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12" fillId="5" borderId="2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right" vertical="center"/>
    </xf>
    <xf numFmtId="0" fontId="13" fillId="0" borderId="1" xfId="0" applyFont="1" applyBorder="1" applyAlignment="1">
      <alignment horizontal="right" vertical="center"/>
    </xf>
    <xf numFmtId="0" fontId="7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B3:AD125"/>
  <sheetViews>
    <sheetView showGridLines="0" tabSelected="1" zoomScale="78" zoomScaleNormal="78" workbookViewId="0">
      <pane ySplit="4" topLeftCell="A96" activePane="bottomLeft" state="frozen"/>
      <selection pane="bottomLeft" activeCell="AA1" sqref="AA1:AA1048576"/>
    </sheetView>
  </sheetViews>
  <sheetFormatPr defaultColWidth="8.7109375" defaultRowHeight="18.75" outlineLevelRow="2" outlineLevelCol="1" x14ac:dyDescent="0.25"/>
  <cols>
    <col min="1" max="1" width="3.42578125" style="2" customWidth="1"/>
    <col min="2" max="2" width="12.85546875" style="2" customWidth="1"/>
    <col min="3" max="3" width="26.42578125" style="2" customWidth="1"/>
    <col min="4" max="5" width="14.5703125" style="2" customWidth="1"/>
    <col min="6" max="6" width="97.7109375" style="2" customWidth="1"/>
    <col min="7" max="7" width="20.7109375" style="28" customWidth="1" outlineLevel="1"/>
    <col min="8" max="8" width="15.28515625" style="3" customWidth="1" outlineLevel="1"/>
    <col min="9" max="9" width="9.5703125" style="3" customWidth="1" outlineLevel="1"/>
    <col min="10" max="10" width="10.5703125" style="3" customWidth="1" outlineLevel="1"/>
    <col min="11" max="11" width="15" style="28" customWidth="1" outlineLevel="1"/>
    <col min="12" max="12" width="15.5703125" style="3" customWidth="1" outlineLevel="1"/>
    <col min="13" max="13" width="4" style="3" customWidth="1" outlineLevel="1"/>
    <col min="14" max="14" width="13.28515625" style="3" customWidth="1" outlineLevel="1"/>
    <col min="15" max="15" width="14.7109375" style="28" customWidth="1" outlineLevel="1"/>
    <col min="16" max="16" width="14.140625" style="3" customWidth="1" outlineLevel="1"/>
    <col min="17" max="17" width="7.5703125" style="3" customWidth="1" outlineLevel="1"/>
    <col min="18" max="18" width="12" style="3" customWidth="1" outlineLevel="1"/>
    <col min="19" max="19" width="10.85546875" style="28" customWidth="1" outlineLevel="1"/>
    <col min="20" max="20" width="22.7109375" style="3" customWidth="1" outlineLevel="1"/>
    <col min="21" max="21" width="4" style="3" customWidth="1" outlineLevel="1"/>
    <col min="22" max="22" width="7.85546875" style="3" customWidth="1" outlineLevel="1"/>
    <col min="23" max="23" width="14.7109375" style="28" customWidth="1" outlineLevel="1"/>
    <col min="24" max="24" width="17" style="3" customWidth="1" outlineLevel="1"/>
    <col min="25" max="25" width="8.5703125" style="3" customWidth="1" outlineLevel="1"/>
    <col min="26" max="26" width="12.85546875" style="3" customWidth="1" outlineLevel="1"/>
    <col min="27" max="27" width="17.28515625" style="3" customWidth="1"/>
    <col min="28" max="28" width="15.85546875" style="3" customWidth="1"/>
    <col min="29" max="29" width="6.85546875" style="3" customWidth="1"/>
    <col min="30" max="30" width="11.7109375" style="3" customWidth="1"/>
    <col min="31" max="16384" width="8.7109375" style="2"/>
  </cols>
  <sheetData>
    <row r="3" spans="2:30" x14ac:dyDescent="0.25">
      <c r="G3" s="49" t="s">
        <v>0</v>
      </c>
      <c r="H3" s="49"/>
      <c r="I3" s="49"/>
      <c r="J3" s="49"/>
      <c r="K3" s="49" t="s">
        <v>1</v>
      </c>
      <c r="L3" s="49"/>
      <c r="M3" s="49"/>
      <c r="N3" s="49"/>
      <c r="O3" s="49" t="s">
        <v>2</v>
      </c>
      <c r="P3" s="49"/>
      <c r="Q3" s="49"/>
      <c r="R3" s="49"/>
      <c r="S3" s="49" t="s">
        <v>3</v>
      </c>
      <c r="T3" s="49"/>
      <c r="U3" s="49"/>
      <c r="V3" s="49"/>
      <c r="W3" s="49" t="s">
        <v>4</v>
      </c>
      <c r="X3" s="49"/>
      <c r="Y3" s="49"/>
      <c r="Z3" s="49"/>
      <c r="AA3" s="48" t="s">
        <v>5</v>
      </c>
      <c r="AB3" s="48"/>
      <c r="AC3" s="48"/>
      <c r="AD3" s="48"/>
    </row>
    <row r="4" spans="2:30" x14ac:dyDescent="0.25">
      <c r="B4" s="17" t="s">
        <v>6</v>
      </c>
      <c r="C4" s="17" t="s">
        <v>7</v>
      </c>
      <c r="D4" s="17" t="s">
        <v>8</v>
      </c>
      <c r="E4" s="17" t="s">
        <v>126</v>
      </c>
      <c r="F4" s="17" t="s">
        <v>9</v>
      </c>
      <c r="G4" s="43" t="s">
        <v>10</v>
      </c>
      <c r="H4" s="44" t="s">
        <v>11</v>
      </c>
      <c r="I4" s="44" t="s">
        <v>12</v>
      </c>
      <c r="J4" s="45" t="s">
        <v>125</v>
      </c>
      <c r="K4" s="43" t="s">
        <v>10</v>
      </c>
      <c r="L4" s="44" t="s">
        <v>11</v>
      </c>
      <c r="M4" s="44" t="s">
        <v>12</v>
      </c>
      <c r="N4" s="45" t="s">
        <v>125</v>
      </c>
      <c r="O4" s="43" t="s">
        <v>10</v>
      </c>
      <c r="P4" s="44" t="s">
        <v>11</v>
      </c>
      <c r="Q4" s="44" t="s">
        <v>12</v>
      </c>
      <c r="R4" s="45" t="s">
        <v>125</v>
      </c>
      <c r="S4" s="43" t="s">
        <v>10</v>
      </c>
      <c r="T4" s="44" t="s">
        <v>11</v>
      </c>
      <c r="U4" s="44" t="s">
        <v>12</v>
      </c>
      <c r="V4" s="45" t="s">
        <v>125</v>
      </c>
      <c r="W4" s="43" t="s">
        <v>10</v>
      </c>
      <c r="X4" s="44" t="s">
        <v>11</v>
      </c>
      <c r="Y4" s="44" t="s">
        <v>12</v>
      </c>
      <c r="Z4" s="45" t="s">
        <v>125</v>
      </c>
      <c r="AA4" s="9" t="s">
        <v>10</v>
      </c>
      <c r="AB4" s="9" t="s">
        <v>11</v>
      </c>
      <c r="AC4" s="9" t="s">
        <v>12</v>
      </c>
      <c r="AD4" s="9" t="s">
        <v>13</v>
      </c>
    </row>
    <row r="5" spans="2:30" x14ac:dyDescent="0.25">
      <c r="B5" s="18" t="s">
        <v>14</v>
      </c>
      <c r="C5" s="18" t="s">
        <v>15</v>
      </c>
      <c r="D5" s="18" t="s">
        <v>16</v>
      </c>
      <c r="E5" s="46">
        <v>1</v>
      </c>
      <c r="F5" s="19" t="s">
        <v>17</v>
      </c>
      <c r="G5" s="11">
        <f>IFERROR(G6+G17+G23+G30+G38,"-")</f>
        <v>502.79999999999995</v>
      </c>
      <c r="H5" s="10"/>
      <c r="I5" s="10"/>
      <c r="J5" s="34"/>
      <c r="K5" s="11">
        <f>IFERROR(K6+K17+K23+K30+K38,"-")</f>
        <v>548.04</v>
      </c>
      <c r="L5" s="10"/>
      <c r="M5" s="10"/>
      <c r="N5" s="34"/>
      <c r="O5" s="11">
        <f>IFERROR(O6+O17+O23+O30+O38,"-")</f>
        <v>617.82999999999993</v>
      </c>
      <c r="P5" s="10"/>
      <c r="Q5" s="10"/>
      <c r="R5" s="34"/>
      <c r="S5" s="11">
        <f>IFERROR(S6+S17+S23+S30+S38,"-")</f>
        <v>548.04</v>
      </c>
      <c r="T5" s="10"/>
      <c r="U5" s="10"/>
      <c r="V5" s="34"/>
      <c r="W5" s="11">
        <f>IFERROR(W6+W17+W23+W30+W38,"-")</f>
        <v>617.82999999999993</v>
      </c>
      <c r="X5" s="10"/>
      <c r="Y5" s="10"/>
      <c r="Z5" s="34"/>
      <c r="AA5" s="11">
        <f>IFERROR(AA6+AA17+AA23+AA30+AA38,"-")</f>
        <v>566.90000000000009</v>
      </c>
      <c r="AB5" s="10" t="str">
        <f>AB6</f>
        <v>KD</v>
      </c>
      <c r="AC5" s="10" t="str">
        <f>IFERROR(ROUND(AVERAGE(AC6+AC17+AC23+AC30+AC38+#REF!+#REF!+#REF!+#REF!,0),0),"-")</f>
        <v>-</v>
      </c>
      <c r="AD5" s="11">
        <f>IFERROR(AD6+AD17+AD23+AD30+AD38,"-")</f>
        <v>566.90000000000009</v>
      </c>
    </row>
    <row r="6" spans="2:30" outlineLevel="1" x14ac:dyDescent="0.25">
      <c r="B6" s="18" t="s">
        <v>14</v>
      </c>
      <c r="C6" s="18" t="s">
        <v>15</v>
      </c>
      <c r="D6" s="18" t="s">
        <v>16</v>
      </c>
      <c r="E6" s="47" t="s">
        <v>127</v>
      </c>
      <c r="F6" s="21" t="s">
        <v>18</v>
      </c>
      <c r="G6" s="13">
        <f>SUM(G7:G16)</f>
        <v>150.15</v>
      </c>
      <c r="H6" s="12" t="str">
        <f>H7</f>
        <v>KD</v>
      </c>
      <c r="I6" s="12">
        <f>IFERROR(ROUND(AVERAGE(I7:I16),0),"-")</f>
        <v>1</v>
      </c>
      <c r="J6" s="35">
        <f>IFERROR(ROUND(AVERAGE(J7:J16),0),"-")</f>
        <v>1</v>
      </c>
      <c r="K6" s="13">
        <f>SUM(K7:K16)</f>
        <v>162.99</v>
      </c>
      <c r="L6" s="12" t="str">
        <f>L7</f>
        <v>KD</v>
      </c>
      <c r="M6" s="12">
        <f>IFERROR(ROUND(AVERAGE(M7:M16),0),"-")</f>
        <v>1</v>
      </c>
      <c r="N6" s="35">
        <f>IFERROR(ROUND(AVERAGE(N7:N16),0),"-")</f>
        <v>1</v>
      </c>
      <c r="O6" s="13">
        <f>SUM(O7:O16)</f>
        <v>167.67</v>
      </c>
      <c r="P6" s="12" t="str">
        <f>P7</f>
        <v>KD</v>
      </c>
      <c r="Q6" s="12">
        <f>IFERROR(ROUND(AVERAGE(Q7:Q16),0),"-")</f>
        <v>1</v>
      </c>
      <c r="R6" s="35">
        <f>IFERROR(ROUND(AVERAGE(R7:R16),0),"-")</f>
        <v>1</v>
      </c>
      <c r="S6" s="13">
        <f>SUM(S7:S16)</f>
        <v>162.99</v>
      </c>
      <c r="T6" s="12" t="str">
        <f>T7</f>
        <v>KD</v>
      </c>
      <c r="U6" s="12">
        <f>IFERROR(ROUND(AVERAGE(U7:U16),0),"-")</f>
        <v>1</v>
      </c>
      <c r="V6" s="35">
        <f>IFERROR(ROUND(AVERAGE(V7:V16),0),"-")</f>
        <v>1</v>
      </c>
      <c r="W6" s="13">
        <f>SUM(W7:W16)</f>
        <v>167.67</v>
      </c>
      <c r="X6" s="12" t="str">
        <f>X7</f>
        <v>KD</v>
      </c>
      <c r="Y6" s="12">
        <f>IFERROR(ROUND(AVERAGE(Y7:Y16),0),"-")</f>
        <v>1</v>
      </c>
      <c r="Z6" s="35">
        <f>IFERROR(ROUND(AVERAGE(Z7:Z16),0),"-")</f>
        <v>1</v>
      </c>
      <c r="AA6" s="15">
        <f>SUM(AA7:AA16)</f>
        <v>162.4</v>
      </c>
      <c r="AB6" s="12" t="str">
        <f>AB7</f>
        <v>KD</v>
      </c>
      <c r="AC6" s="12">
        <f>IFERROR(ROUND(AVERAGE(AC7:AC16),0),"-")</f>
        <v>1</v>
      </c>
      <c r="AD6" s="15">
        <f>SUM(AD7:AD16)</f>
        <v>162.4</v>
      </c>
    </row>
    <row r="7" spans="2:30" outlineLevel="2" x14ac:dyDescent="0.25">
      <c r="B7" s="18" t="s">
        <v>14</v>
      </c>
      <c r="C7" s="18" t="s">
        <v>15</v>
      </c>
      <c r="D7" s="18" t="s">
        <v>16</v>
      </c>
      <c r="E7" s="47" t="s">
        <v>128</v>
      </c>
      <c r="F7" s="22" t="s">
        <v>19</v>
      </c>
      <c r="G7" s="23">
        <v>12.85</v>
      </c>
      <c r="H7" s="24" t="s">
        <v>20</v>
      </c>
      <c r="I7" s="24">
        <v>1</v>
      </c>
      <c r="J7" s="38">
        <v>1</v>
      </c>
      <c r="K7" s="23">
        <v>13.25</v>
      </c>
      <c r="L7" s="24" t="s">
        <v>20</v>
      </c>
      <c r="M7" s="24">
        <v>1</v>
      </c>
      <c r="N7" s="38">
        <v>1</v>
      </c>
      <c r="O7" s="23">
        <v>12.22</v>
      </c>
      <c r="P7" s="24" t="s">
        <v>20</v>
      </c>
      <c r="Q7" s="24">
        <v>1</v>
      </c>
      <c r="R7" s="38">
        <v>1</v>
      </c>
      <c r="S7" s="23">
        <v>13.25</v>
      </c>
      <c r="T7" s="24" t="s">
        <v>20</v>
      </c>
      <c r="U7" s="24">
        <v>1</v>
      </c>
      <c r="V7" s="38">
        <v>1</v>
      </c>
      <c r="W7" s="23">
        <v>12.22</v>
      </c>
      <c r="X7" s="24" t="s">
        <v>20</v>
      </c>
      <c r="Y7" s="24">
        <v>1</v>
      </c>
      <c r="Z7" s="38">
        <v>1</v>
      </c>
      <c r="AA7" s="16">
        <f>IFERROR(ROUND(AVERAGE(G7,K7,O7,S7,W7),1),"Erro")</f>
        <v>12.8</v>
      </c>
      <c r="AB7" s="16" t="str">
        <f>H7</f>
        <v>KD</v>
      </c>
      <c r="AC7" s="16">
        <f>IFERROR(ROUND(AVERAGE(I7,M7,Q7,U7,Y7),1),"Erro")</f>
        <v>1</v>
      </c>
      <c r="AD7" s="14">
        <f t="shared" ref="AD7:AD16" si="0">IFERROR(ROUND(AA7/AC7,1),"Erro")</f>
        <v>12.8</v>
      </c>
    </row>
    <row r="8" spans="2:30" outlineLevel="2" x14ac:dyDescent="0.25">
      <c r="B8" s="18" t="s">
        <v>14</v>
      </c>
      <c r="C8" s="18" t="s">
        <v>15</v>
      </c>
      <c r="D8" s="18" t="s">
        <v>16</v>
      </c>
      <c r="E8" s="47" t="s">
        <v>129</v>
      </c>
      <c r="F8" s="22" t="s">
        <v>21</v>
      </c>
      <c r="G8" s="23">
        <v>20.309999999999999</v>
      </c>
      <c r="H8" s="24" t="s">
        <v>20</v>
      </c>
      <c r="I8" s="24">
        <v>1</v>
      </c>
      <c r="J8" s="38">
        <v>1</v>
      </c>
      <c r="K8" s="23">
        <v>19.77</v>
      </c>
      <c r="L8" s="24" t="s">
        <v>20</v>
      </c>
      <c r="M8" s="24">
        <v>1</v>
      </c>
      <c r="N8" s="38">
        <v>1</v>
      </c>
      <c r="O8" s="23">
        <v>21.58</v>
      </c>
      <c r="P8" s="24" t="s">
        <v>20</v>
      </c>
      <c r="Q8" s="24">
        <v>1</v>
      </c>
      <c r="R8" s="38">
        <v>1</v>
      </c>
      <c r="S8" s="23">
        <v>19.77</v>
      </c>
      <c r="T8" s="24" t="s">
        <v>20</v>
      </c>
      <c r="U8" s="24">
        <v>1</v>
      </c>
      <c r="V8" s="38">
        <v>1</v>
      </c>
      <c r="W8" s="23">
        <v>21.58</v>
      </c>
      <c r="X8" s="24" t="s">
        <v>20</v>
      </c>
      <c r="Y8" s="24">
        <v>1</v>
      </c>
      <c r="Z8" s="38">
        <v>1</v>
      </c>
      <c r="AA8" s="16">
        <f>IFERROR(ROUND(AVERAGE(G8,K8,O8,S8,W8),1),"Erro")</f>
        <v>20.6</v>
      </c>
      <c r="AB8" s="16" t="str">
        <f>H8</f>
        <v>KD</v>
      </c>
      <c r="AC8" s="16">
        <f>IFERROR(ROUND(AVERAGE(I8,M8,Q8,U8,Y8),1),"Erro")</f>
        <v>1</v>
      </c>
      <c r="AD8" s="14">
        <f t="shared" si="0"/>
        <v>20.6</v>
      </c>
    </row>
    <row r="9" spans="2:30" outlineLevel="2" x14ac:dyDescent="0.25">
      <c r="B9" s="18" t="s">
        <v>14</v>
      </c>
      <c r="C9" s="18" t="s">
        <v>15</v>
      </c>
      <c r="D9" s="18" t="s">
        <v>16</v>
      </c>
      <c r="E9" s="47" t="s">
        <v>130</v>
      </c>
      <c r="F9" s="22" t="s">
        <v>22</v>
      </c>
      <c r="G9" s="23">
        <v>12.85</v>
      </c>
      <c r="H9" s="24" t="s">
        <v>20</v>
      </c>
      <c r="I9" s="24">
        <v>1</v>
      </c>
      <c r="J9" s="38">
        <v>1</v>
      </c>
      <c r="K9" s="23">
        <v>14.2</v>
      </c>
      <c r="L9" s="24" t="s">
        <v>20</v>
      </c>
      <c r="M9" s="24">
        <v>1</v>
      </c>
      <c r="N9" s="38">
        <v>1</v>
      </c>
      <c r="O9" s="23">
        <v>14.25</v>
      </c>
      <c r="P9" s="24" t="s">
        <v>20</v>
      </c>
      <c r="Q9" s="24">
        <v>1</v>
      </c>
      <c r="R9" s="38">
        <v>1</v>
      </c>
      <c r="S9" s="23">
        <v>14.2</v>
      </c>
      <c r="T9" s="24" t="s">
        <v>20</v>
      </c>
      <c r="U9" s="24">
        <v>1</v>
      </c>
      <c r="V9" s="38">
        <v>1</v>
      </c>
      <c r="W9" s="23">
        <v>14.25</v>
      </c>
      <c r="X9" s="24" t="s">
        <v>20</v>
      </c>
      <c r="Y9" s="24">
        <v>1</v>
      </c>
      <c r="Z9" s="38">
        <v>1</v>
      </c>
      <c r="AA9" s="16">
        <f>IFERROR(ROUND(AVERAGE(G9,K9,O9,S9,W9),1),"Erro")</f>
        <v>14</v>
      </c>
      <c r="AB9" s="16" t="str">
        <f>H9</f>
        <v>KD</v>
      </c>
      <c r="AC9" s="16">
        <f>IFERROR(ROUND(AVERAGE(I9,M9,Q9,U9,Y9),1),"Erro")</f>
        <v>1</v>
      </c>
      <c r="AD9" s="14">
        <f t="shared" si="0"/>
        <v>14</v>
      </c>
    </row>
    <row r="10" spans="2:30" outlineLevel="2" x14ac:dyDescent="0.25">
      <c r="B10" s="18" t="s">
        <v>14</v>
      </c>
      <c r="C10" s="18" t="s">
        <v>15</v>
      </c>
      <c r="D10" s="18" t="s">
        <v>16</v>
      </c>
      <c r="E10" s="47" t="s">
        <v>131</v>
      </c>
      <c r="F10" s="22" t="s">
        <v>23</v>
      </c>
      <c r="G10" s="23">
        <v>33.65</v>
      </c>
      <c r="H10" s="24" t="s">
        <v>20</v>
      </c>
      <c r="I10" s="24">
        <v>1</v>
      </c>
      <c r="J10" s="38">
        <v>1</v>
      </c>
      <c r="K10" s="23">
        <v>35.9</v>
      </c>
      <c r="L10" s="24" t="s">
        <v>20</v>
      </c>
      <c r="M10" s="24">
        <v>1</v>
      </c>
      <c r="N10" s="38">
        <v>1</v>
      </c>
      <c r="O10" s="23">
        <v>33.9</v>
      </c>
      <c r="P10" s="24" t="s">
        <v>20</v>
      </c>
      <c r="Q10" s="24">
        <v>1</v>
      </c>
      <c r="R10" s="38">
        <v>1</v>
      </c>
      <c r="S10" s="23">
        <v>35.9</v>
      </c>
      <c r="T10" s="24" t="s">
        <v>20</v>
      </c>
      <c r="U10" s="24">
        <v>1</v>
      </c>
      <c r="V10" s="38">
        <v>1</v>
      </c>
      <c r="W10" s="23">
        <v>33.9</v>
      </c>
      <c r="X10" s="24" t="s">
        <v>20</v>
      </c>
      <c r="Y10" s="24">
        <v>1</v>
      </c>
      <c r="Z10" s="38">
        <v>1</v>
      </c>
      <c r="AA10" s="16">
        <f>IFERROR(ROUND(AVERAGE(G10,K10,O10,S10,W10),1),"Erro")</f>
        <v>34.700000000000003</v>
      </c>
      <c r="AB10" s="16" t="str">
        <f>H10</f>
        <v>KD</v>
      </c>
      <c r="AC10" s="16">
        <f>IFERROR(ROUND(AVERAGE(I10,M10,Q10,U10,Y10),1),"Erro")</f>
        <v>1</v>
      </c>
      <c r="AD10" s="14">
        <f>IFERROR(ROUND(AA10/AC10,1),"Erro")</f>
        <v>34.700000000000003</v>
      </c>
    </row>
    <row r="11" spans="2:30" outlineLevel="2" x14ac:dyDescent="0.25">
      <c r="B11" s="18" t="s">
        <v>14</v>
      </c>
      <c r="C11" s="18" t="s">
        <v>15</v>
      </c>
      <c r="D11" s="18" t="s">
        <v>16</v>
      </c>
      <c r="E11" s="47" t="s">
        <v>132</v>
      </c>
      <c r="F11" s="22" t="s">
        <v>24</v>
      </c>
      <c r="G11" s="23">
        <v>4.4400000000000004</v>
      </c>
      <c r="H11" s="24" t="s">
        <v>20</v>
      </c>
      <c r="I11" s="24">
        <v>1</v>
      </c>
      <c r="J11" s="38">
        <v>1</v>
      </c>
      <c r="K11" s="23">
        <v>9.8800000000000008</v>
      </c>
      <c r="L11" s="24" t="s">
        <v>20</v>
      </c>
      <c r="M11" s="24">
        <v>1</v>
      </c>
      <c r="N11" s="38">
        <v>1</v>
      </c>
      <c r="O11" s="23">
        <v>11.36</v>
      </c>
      <c r="P11" s="24" t="s">
        <v>20</v>
      </c>
      <c r="Q11" s="24">
        <v>1</v>
      </c>
      <c r="R11" s="38">
        <v>1</v>
      </c>
      <c r="S11" s="23">
        <v>9.8800000000000008</v>
      </c>
      <c r="T11" s="24" t="s">
        <v>20</v>
      </c>
      <c r="U11" s="24">
        <v>1</v>
      </c>
      <c r="V11" s="38">
        <v>1</v>
      </c>
      <c r="W11" s="23">
        <v>11.36</v>
      </c>
      <c r="X11" s="24" t="s">
        <v>20</v>
      </c>
      <c r="Y11" s="24">
        <v>1</v>
      </c>
      <c r="Z11" s="38">
        <v>1</v>
      </c>
      <c r="AA11" s="16">
        <f>IFERROR(ROUND(AVERAGE(G11,K11,O11,S11,W11),1),"Erro")</f>
        <v>9.4</v>
      </c>
      <c r="AB11" s="16" t="str">
        <f>H11</f>
        <v>KD</v>
      </c>
      <c r="AC11" s="16">
        <f>IFERROR(ROUND(AVERAGE(I11,M11,Q11,U11,Y11),1),"Erro")</f>
        <v>1</v>
      </c>
      <c r="AD11" s="14">
        <f t="shared" si="0"/>
        <v>9.4</v>
      </c>
    </row>
    <row r="12" spans="2:30" outlineLevel="2" x14ac:dyDescent="0.25">
      <c r="B12" s="18" t="s">
        <v>14</v>
      </c>
      <c r="C12" s="18" t="s">
        <v>15</v>
      </c>
      <c r="D12" s="18" t="s">
        <v>16</v>
      </c>
      <c r="E12" s="47" t="s">
        <v>133</v>
      </c>
      <c r="F12" s="22" t="s">
        <v>25</v>
      </c>
      <c r="G12" s="23">
        <v>4.47</v>
      </c>
      <c r="H12" s="24" t="s">
        <v>20</v>
      </c>
      <c r="I12" s="24">
        <v>1</v>
      </c>
      <c r="J12" s="38">
        <v>1</v>
      </c>
      <c r="K12" s="23">
        <v>5.6</v>
      </c>
      <c r="L12" s="24" t="s">
        <v>20</v>
      </c>
      <c r="M12" s="24">
        <v>1</v>
      </c>
      <c r="N12" s="38">
        <v>1</v>
      </c>
      <c r="O12" s="23">
        <v>4.8099999999999996</v>
      </c>
      <c r="P12" s="24" t="s">
        <v>20</v>
      </c>
      <c r="Q12" s="24">
        <v>1</v>
      </c>
      <c r="R12" s="38">
        <v>1</v>
      </c>
      <c r="S12" s="23">
        <v>5.6</v>
      </c>
      <c r="T12" s="24" t="s">
        <v>20</v>
      </c>
      <c r="U12" s="24">
        <v>1</v>
      </c>
      <c r="V12" s="38">
        <v>1</v>
      </c>
      <c r="W12" s="23">
        <v>4.8099999999999996</v>
      </c>
      <c r="X12" s="24" t="s">
        <v>20</v>
      </c>
      <c r="Y12" s="24">
        <v>1</v>
      </c>
      <c r="Z12" s="38">
        <v>1</v>
      </c>
      <c r="AA12" s="16">
        <f>IFERROR(ROUND(AVERAGE(G12,K12,O12,S12,W12),1),"Erro")</f>
        <v>5.0999999999999996</v>
      </c>
      <c r="AB12" s="16" t="str">
        <f>H12</f>
        <v>KD</v>
      </c>
      <c r="AC12" s="16">
        <f>IFERROR(ROUND(AVERAGE(I12,M12,Q12,U12,Y12),1),"Erro")</f>
        <v>1</v>
      </c>
      <c r="AD12" s="14">
        <f t="shared" ref="AD12" si="1">IFERROR(ROUND(AA12/AC12,1),"Erro")</f>
        <v>5.0999999999999996</v>
      </c>
    </row>
    <row r="13" spans="2:30" outlineLevel="2" x14ac:dyDescent="0.25">
      <c r="B13" s="18" t="s">
        <v>14</v>
      </c>
      <c r="C13" s="18" t="s">
        <v>15</v>
      </c>
      <c r="D13" s="18" t="s">
        <v>16</v>
      </c>
      <c r="E13" s="47" t="s">
        <v>134</v>
      </c>
      <c r="F13" s="22" t="s">
        <v>26</v>
      </c>
      <c r="G13" s="23">
        <v>7.37</v>
      </c>
      <c r="H13" s="24" t="s">
        <v>20</v>
      </c>
      <c r="I13" s="24">
        <v>1</v>
      </c>
      <c r="J13" s="38">
        <v>1</v>
      </c>
      <c r="K13" s="23">
        <v>7.9</v>
      </c>
      <c r="L13" s="24" t="s">
        <v>20</v>
      </c>
      <c r="M13" s="24">
        <v>1</v>
      </c>
      <c r="N13" s="38">
        <v>1</v>
      </c>
      <c r="O13" s="23">
        <v>6.38</v>
      </c>
      <c r="P13" s="24" t="s">
        <v>20</v>
      </c>
      <c r="Q13" s="24">
        <v>1</v>
      </c>
      <c r="R13" s="38">
        <v>1</v>
      </c>
      <c r="S13" s="23">
        <v>7.9</v>
      </c>
      <c r="T13" s="24" t="s">
        <v>20</v>
      </c>
      <c r="U13" s="24">
        <v>1</v>
      </c>
      <c r="V13" s="38">
        <v>1</v>
      </c>
      <c r="W13" s="23">
        <v>6.38</v>
      </c>
      <c r="X13" s="24" t="s">
        <v>20</v>
      </c>
      <c r="Y13" s="24">
        <v>1</v>
      </c>
      <c r="Z13" s="38">
        <v>1</v>
      </c>
      <c r="AA13" s="16">
        <f>IFERROR(ROUND(AVERAGE(G13,K13,O13,S13,W13),1),"Erro")</f>
        <v>7.2</v>
      </c>
      <c r="AB13" s="16" t="str">
        <f>H13</f>
        <v>KD</v>
      </c>
      <c r="AC13" s="16">
        <f>IFERROR(ROUND(AVERAGE(I13,M13,Q13,U13,Y13),1),"Erro")</f>
        <v>1</v>
      </c>
      <c r="AD13" s="14">
        <f t="shared" si="0"/>
        <v>7.2</v>
      </c>
    </row>
    <row r="14" spans="2:30" outlineLevel="2" x14ac:dyDescent="0.25">
      <c r="B14" s="18" t="s">
        <v>14</v>
      </c>
      <c r="C14" s="18" t="s">
        <v>15</v>
      </c>
      <c r="D14" s="18" t="s">
        <v>16</v>
      </c>
      <c r="E14" s="47" t="s">
        <v>135</v>
      </c>
      <c r="F14" s="22" t="s">
        <v>27</v>
      </c>
      <c r="G14" s="23">
        <v>10.68</v>
      </c>
      <c r="H14" s="24" t="s">
        <v>20</v>
      </c>
      <c r="I14" s="24">
        <v>1</v>
      </c>
      <c r="J14" s="38">
        <v>1</v>
      </c>
      <c r="K14" s="23">
        <v>10.18</v>
      </c>
      <c r="L14" s="24" t="s">
        <v>20</v>
      </c>
      <c r="M14" s="24">
        <v>1</v>
      </c>
      <c r="N14" s="38">
        <v>1</v>
      </c>
      <c r="O14" s="23">
        <v>11.07</v>
      </c>
      <c r="P14" s="24" t="s">
        <v>20</v>
      </c>
      <c r="Q14" s="24">
        <v>1</v>
      </c>
      <c r="R14" s="38">
        <v>1</v>
      </c>
      <c r="S14" s="23">
        <v>10.18</v>
      </c>
      <c r="T14" s="24" t="s">
        <v>20</v>
      </c>
      <c r="U14" s="24">
        <v>1</v>
      </c>
      <c r="V14" s="38">
        <v>1</v>
      </c>
      <c r="W14" s="23">
        <v>11.07</v>
      </c>
      <c r="X14" s="24" t="s">
        <v>20</v>
      </c>
      <c r="Y14" s="24">
        <v>1</v>
      </c>
      <c r="Z14" s="38">
        <v>1</v>
      </c>
      <c r="AA14" s="16">
        <f>IFERROR(ROUND(AVERAGE(G14,K14,O14,S14,W14),1),"Erro")</f>
        <v>10.6</v>
      </c>
      <c r="AB14" s="16" t="str">
        <f>H14</f>
        <v>KD</v>
      </c>
      <c r="AC14" s="16">
        <f>IFERROR(ROUND(AVERAGE(I14,M14,Q14,U14,Y14),1),"Erro")</f>
        <v>1</v>
      </c>
      <c r="AD14" s="14">
        <f t="shared" si="0"/>
        <v>10.6</v>
      </c>
    </row>
    <row r="15" spans="2:30" outlineLevel="2" x14ac:dyDescent="0.25">
      <c r="B15" s="18" t="s">
        <v>14</v>
      </c>
      <c r="C15" s="18" t="s">
        <v>15</v>
      </c>
      <c r="D15" s="18" t="s">
        <v>16</v>
      </c>
      <c r="E15" s="47" t="s">
        <v>136</v>
      </c>
      <c r="F15" s="22" t="s">
        <v>28</v>
      </c>
      <c r="G15" s="23">
        <v>30.09</v>
      </c>
      <c r="H15" s="24" t="s">
        <v>20</v>
      </c>
      <c r="I15" s="24">
        <v>1</v>
      </c>
      <c r="J15" s="38">
        <v>1</v>
      </c>
      <c r="K15" s="23">
        <v>32.15</v>
      </c>
      <c r="L15" s="24" t="s">
        <v>20</v>
      </c>
      <c r="M15" s="24">
        <v>1</v>
      </c>
      <c r="N15" s="38">
        <v>1</v>
      </c>
      <c r="O15" s="23">
        <v>35.4</v>
      </c>
      <c r="P15" s="24" t="s">
        <v>20</v>
      </c>
      <c r="Q15" s="24">
        <v>1</v>
      </c>
      <c r="R15" s="38">
        <v>1</v>
      </c>
      <c r="S15" s="23">
        <v>32.15</v>
      </c>
      <c r="T15" s="24" t="s">
        <v>20</v>
      </c>
      <c r="U15" s="24">
        <v>1</v>
      </c>
      <c r="V15" s="38">
        <v>1</v>
      </c>
      <c r="W15" s="23">
        <v>35.4</v>
      </c>
      <c r="X15" s="24" t="s">
        <v>20</v>
      </c>
      <c r="Y15" s="24">
        <v>1</v>
      </c>
      <c r="Z15" s="38">
        <v>1</v>
      </c>
      <c r="AA15" s="16">
        <f>IFERROR(ROUND(AVERAGE(G15,K15,O15,S15,W15),1),"Erro")</f>
        <v>33</v>
      </c>
      <c r="AB15" s="16" t="str">
        <f>H15</f>
        <v>KD</v>
      </c>
      <c r="AC15" s="16">
        <f>IFERROR(ROUND(AVERAGE(I15,M15,Q15,U15,Y15),1),"Erro")</f>
        <v>1</v>
      </c>
      <c r="AD15" s="14">
        <f t="shared" si="0"/>
        <v>33</v>
      </c>
    </row>
    <row r="16" spans="2:30" outlineLevel="2" x14ac:dyDescent="0.25">
      <c r="B16" s="18" t="s">
        <v>14</v>
      </c>
      <c r="C16" s="18" t="s">
        <v>15</v>
      </c>
      <c r="D16" s="18" t="s">
        <v>16</v>
      </c>
      <c r="E16" s="47" t="s">
        <v>137</v>
      </c>
      <c r="F16" s="22" t="s">
        <v>29</v>
      </c>
      <c r="G16" s="23">
        <v>13.44</v>
      </c>
      <c r="H16" s="24" t="s">
        <v>20</v>
      </c>
      <c r="I16" s="24">
        <v>1</v>
      </c>
      <c r="J16" s="38">
        <v>1</v>
      </c>
      <c r="K16" s="23">
        <v>14.16</v>
      </c>
      <c r="L16" s="24" t="s">
        <v>20</v>
      </c>
      <c r="M16" s="24">
        <v>1</v>
      </c>
      <c r="N16" s="38">
        <v>1</v>
      </c>
      <c r="O16" s="23">
        <v>16.7</v>
      </c>
      <c r="P16" s="24" t="s">
        <v>20</v>
      </c>
      <c r="Q16" s="24">
        <v>1</v>
      </c>
      <c r="R16" s="38">
        <v>1</v>
      </c>
      <c r="S16" s="23">
        <v>14.16</v>
      </c>
      <c r="T16" s="24" t="s">
        <v>20</v>
      </c>
      <c r="U16" s="24">
        <v>1</v>
      </c>
      <c r="V16" s="38">
        <v>1</v>
      </c>
      <c r="W16" s="23">
        <v>16.7</v>
      </c>
      <c r="X16" s="24" t="s">
        <v>20</v>
      </c>
      <c r="Y16" s="24">
        <v>1</v>
      </c>
      <c r="Z16" s="38">
        <v>1</v>
      </c>
      <c r="AA16" s="16">
        <f>IFERROR(ROUND(AVERAGE(G16,K16,O16,S16,W16),1),"Erro")</f>
        <v>15</v>
      </c>
      <c r="AB16" s="16" t="str">
        <f>H16</f>
        <v>KD</v>
      </c>
      <c r="AC16" s="16">
        <f>IFERROR(ROUND(AVERAGE(I16,M16,Q16,U16,Y16),1),"Erro")</f>
        <v>1</v>
      </c>
      <c r="AD16" s="14">
        <f t="shared" si="0"/>
        <v>15</v>
      </c>
    </row>
    <row r="17" spans="2:30" outlineLevel="1" x14ac:dyDescent="0.25">
      <c r="B17" s="18" t="s">
        <v>14</v>
      </c>
      <c r="C17" s="18" t="s">
        <v>15</v>
      </c>
      <c r="D17" s="18" t="s">
        <v>16</v>
      </c>
      <c r="E17" s="47">
        <v>2</v>
      </c>
      <c r="F17" s="25" t="s">
        <v>30</v>
      </c>
      <c r="G17" s="13">
        <f>SUM(G18:G22)</f>
        <v>36.839999999999996</v>
      </c>
      <c r="H17" s="12" t="s">
        <v>20</v>
      </c>
      <c r="I17" s="12">
        <v>1</v>
      </c>
      <c r="J17" s="35">
        <v>1</v>
      </c>
      <c r="K17" s="13">
        <f>SUM(K18:K22)</f>
        <v>37.76</v>
      </c>
      <c r="L17" s="12" t="s">
        <v>20</v>
      </c>
      <c r="M17" s="12">
        <v>1</v>
      </c>
      <c r="N17" s="35">
        <v>1</v>
      </c>
      <c r="O17" s="13">
        <f>SUM(O18:O22)</f>
        <v>42.269999999999996</v>
      </c>
      <c r="P17" s="12" t="s">
        <v>20</v>
      </c>
      <c r="Q17" s="12">
        <v>1</v>
      </c>
      <c r="R17" s="35">
        <v>1</v>
      </c>
      <c r="S17" s="13">
        <f>SUM(S18:S22)</f>
        <v>37.76</v>
      </c>
      <c r="T17" s="12" t="s">
        <v>20</v>
      </c>
      <c r="U17" s="12">
        <v>1</v>
      </c>
      <c r="V17" s="35">
        <v>1</v>
      </c>
      <c r="W17" s="13">
        <f>SUM(W18:W22)</f>
        <v>42.269999999999996</v>
      </c>
      <c r="X17" s="12" t="s">
        <v>20</v>
      </c>
      <c r="Y17" s="12">
        <v>1</v>
      </c>
      <c r="Z17" s="35">
        <v>1</v>
      </c>
      <c r="AA17" s="15">
        <f>SUM(AA18:AA22)</f>
        <v>39.4</v>
      </c>
      <c r="AB17" s="12" t="str">
        <f>AB18</f>
        <v>KD</v>
      </c>
      <c r="AC17" s="12">
        <f>IFERROR(ROUND(AVERAGE(AC18:AC22),0),"-")</f>
        <v>1</v>
      </c>
      <c r="AD17" s="15">
        <f>SUM(AD18:AD22)</f>
        <v>39.4</v>
      </c>
    </row>
    <row r="18" spans="2:30" outlineLevel="2" x14ac:dyDescent="0.25">
      <c r="B18" s="18" t="s">
        <v>14</v>
      </c>
      <c r="C18" s="18" t="s">
        <v>15</v>
      </c>
      <c r="D18" s="18" t="s">
        <v>16</v>
      </c>
      <c r="E18" s="47" t="s">
        <v>138</v>
      </c>
      <c r="F18" s="22" t="s">
        <v>31</v>
      </c>
      <c r="G18" s="23">
        <v>7.21</v>
      </c>
      <c r="H18" s="24" t="s">
        <v>20</v>
      </c>
      <c r="I18" s="24">
        <v>1</v>
      </c>
      <c r="J18" s="38">
        <v>1</v>
      </c>
      <c r="K18" s="23">
        <v>8.16</v>
      </c>
      <c r="L18" s="24" t="s">
        <v>20</v>
      </c>
      <c r="M18" s="24">
        <v>1</v>
      </c>
      <c r="N18" s="38">
        <v>1</v>
      </c>
      <c r="O18" s="23">
        <v>11.62</v>
      </c>
      <c r="P18" s="24" t="s">
        <v>20</v>
      </c>
      <c r="Q18" s="24">
        <v>1</v>
      </c>
      <c r="R18" s="38">
        <v>1</v>
      </c>
      <c r="S18" s="23">
        <v>8.16</v>
      </c>
      <c r="T18" s="24" t="s">
        <v>20</v>
      </c>
      <c r="U18" s="24">
        <v>1</v>
      </c>
      <c r="V18" s="38">
        <v>1</v>
      </c>
      <c r="W18" s="23">
        <v>11.62</v>
      </c>
      <c r="X18" s="24" t="s">
        <v>20</v>
      </c>
      <c r="Y18" s="24">
        <v>1</v>
      </c>
      <c r="Z18" s="38">
        <v>1</v>
      </c>
      <c r="AA18" s="16">
        <f>IFERROR(ROUND(AVERAGE(G18,K18,O18,S18,W18),1),"Erro")</f>
        <v>9.4</v>
      </c>
      <c r="AB18" s="16" t="str">
        <f>H18</f>
        <v>KD</v>
      </c>
      <c r="AC18" s="16">
        <f>IFERROR(ROUND(AVERAGE(I18,M18,Q18,U18,Y18),1),"Erro")</f>
        <v>1</v>
      </c>
      <c r="AD18" s="14">
        <f>IFERROR(ROUND(AA18/AC18,1),"Erro")</f>
        <v>9.4</v>
      </c>
    </row>
    <row r="19" spans="2:30" outlineLevel="2" x14ac:dyDescent="0.25">
      <c r="B19" s="18" t="s">
        <v>14</v>
      </c>
      <c r="C19" s="18" t="s">
        <v>15</v>
      </c>
      <c r="D19" s="18" t="s">
        <v>16</v>
      </c>
      <c r="E19" s="47" t="s">
        <v>139</v>
      </c>
      <c r="F19" s="22" t="s">
        <v>32</v>
      </c>
      <c r="G19" s="23">
        <v>8.69</v>
      </c>
      <c r="H19" s="24" t="s">
        <v>20</v>
      </c>
      <c r="I19" s="24">
        <v>1</v>
      </c>
      <c r="J19" s="38">
        <v>1</v>
      </c>
      <c r="K19" s="23">
        <v>5.61</v>
      </c>
      <c r="L19" s="24" t="s">
        <v>20</v>
      </c>
      <c r="M19" s="24">
        <v>1</v>
      </c>
      <c r="N19" s="38">
        <v>1</v>
      </c>
      <c r="O19" s="23">
        <v>8.15</v>
      </c>
      <c r="P19" s="24" t="s">
        <v>20</v>
      </c>
      <c r="Q19" s="24">
        <v>1</v>
      </c>
      <c r="R19" s="38">
        <v>1</v>
      </c>
      <c r="S19" s="23">
        <v>5.61</v>
      </c>
      <c r="T19" s="24" t="s">
        <v>20</v>
      </c>
      <c r="U19" s="24">
        <v>1</v>
      </c>
      <c r="V19" s="38">
        <v>1</v>
      </c>
      <c r="W19" s="23">
        <v>8.15</v>
      </c>
      <c r="X19" s="24" t="s">
        <v>20</v>
      </c>
      <c r="Y19" s="24">
        <v>1</v>
      </c>
      <c r="Z19" s="38">
        <v>1</v>
      </c>
      <c r="AA19" s="16">
        <f>IFERROR(ROUND(AVERAGE(G19,K19,O19,S19,W19),1),"Erro")</f>
        <v>7.2</v>
      </c>
      <c r="AB19" s="16" t="str">
        <f>H19</f>
        <v>KD</v>
      </c>
      <c r="AC19" s="16">
        <f>IFERROR(ROUND(AVERAGE(I19,M19,Q19,U19,Y19),1),"Erro")</f>
        <v>1</v>
      </c>
      <c r="AD19" s="14">
        <f t="shared" ref="AD19:AD22" si="2">IFERROR(ROUND(AA19/AC19,1),"Erro")</f>
        <v>7.2</v>
      </c>
    </row>
    <row r="20" spans="2:30" outlineLevel="2" x14ac:dyDescent="0.25">
      <c r="B20" s="18" t="s">
        <v>14</v>
      </c>
      <c r="C20" s="18" t="s">
        <v>15</v>
      </c>
      <c r="D20" s="18" t="s">
        <v>16</v>
      </c>
      <c r="E20" s="47" t="s">
        <v>140</v>
      </c>
      <c r="F20" s="22" t="s">
        <v>33</v>
      </c>
      <c r="G20" s="23">
        <v>5.72</v>
      </c>
      <c r="H20" s="24" t="s">
        <v>20</v>
      </c>
      <c r="I20" s="24">
        <v>1</v>
      </c>
      <c r="J20" s="38">
        <v>1</v>
      </c>
      <c r="K20" s="23">
        <v>5.76</v>
      </c>
      <c r="L20" s="24" t="s">
        <v>20</v>
      </c>
      <c r="M20" s="24">
        <v>1</v>
      </c>
      <c r="N20" s="38">
        <v>1</v>
      </c>
      <c r="O20" s="23">
        <v>4.0999999999999996</v>
      </c>
      <c r="P20" s="24" t="s">
        <v>20</v>
      </c>
      <c r="Q20" s="24">
        <v>1</v>
      </c>
      <c r="R20" s="38">
        <v>1</v>
      </c>
      <c r="S20" s="23">
        <v>5.76</v>
      </c>
      <c r="T20" s="24" t="s">
        <v>20</v>
      </c>
      <c r="U20" s="24">
        <v>1</v>
      </c>
      <c r="V20" s="38">
        <v>1</v>
      </c>
      <c r="W20" s="23">
        <v>4.0999999999999996</v>
      </c>
      <c r="X20" s="24" t="s">
        <v>20</v>
      </c>
      <c r="Y20" s="24">
        <v>1</v>
      </c>
      <c r="Z20" s="38">
        <v>1</v>
      </c>
      <c r="AA20" s="16">
        <f>IFERROR(ROUND(AVERAGE(G20,K20,O20,S20,W20),1),"Erro")</f>
        <v>5.0999999999999996</v>
      </c>
      <c r="AB20" s="16" t="str">
        <f>H20</f>
        <v>KD</v>
      </c>
      <c r="AC20" s="16">
        <f>IFERROR(ROUND(AVERAGE(I20,M20,Q20,U20,Y20),1),"Erro")</f>
        <v>1</v>
      </c>
      <c r="AD20" s="14">
        <f t="shared" si="2"/>
        <v>5.0999999999999996</v>
      </c>
    </row>
    <row r="21" spans="2:30" outlineLevel="2" x14ac:dyDescent="0.25">
      <c r="B21" s="18" t="s">
        <v>14</v>
      </c>
      <c r="C21" s="18" t="s">
        <v>15</v>
      </c>
      <c r="D21" s="18" t="s">
        <v>16</v>
      </c>
      <c r="E21" s="47" t="s">
        <v>141</v>
      </c>
      <c r="F21" s="26" t="s">
        <v>34</v>
      </c>
      <c r="G21" s="23">
        <v>8.7200000000000006</v>
      </c>
      <c r="H21" s="24" t="s">
        <v>20</v>
      </c>
      <c r="I21" s="24">
        <v>1</v>
      </c>
      <c r="J21" s="38">
        <v>1</v>
      </c>
      <c r="K21" s="23">
        <v>11.4</v>
      </c>
      <c r="L21" s="24" t="s">
        <v>20</v>
      </c>
      <c r="M21" s="24">
        <v>1</v>
      </c>
      <c r="N21" s="38">
        <v>1</v>
      </c>
      <c r="O21" s="23">
        <v>10.18</v>
      </c>
      <c r="P21" s="24" t="s">
        <v>20</v>
      </c>
      <c r="Q21" s="24">
        <v>1</v>
      </c>
      <c r="R21" s="38">
        <v>1</v>
      </c>
      <c r="S21" s="23">
        <v>11.4</v>
      </c>
      <c r="T21" s="24" t="s">
        <v>20</v>
      </c>
      <c r="U21" s="24">
        <v>1</v>
      </c>
      <c r="V21" s="38">
        <v>1</v>
      </c>
      <c r="W21" s="23">
        <v>10.18</v>
      </c>
      <c r="X21" s="24" t="s">
        <v>20</v>
      </c>
      <c r="Y21" s="24">
        <v>1</v>
      </c>
      <c r="Z21" s="38">
        <v>1</v>
      </c>
      <c r="AA21" s="16">
        <f>IFERROR(ROUND(AVERAGE(G21,K21,O21,S21,W21),1),"Erro")</f>
        <v>10.4</v>
      </c>
      <c r="AB21" s="16" t="str">
        <f>H21</f>
        <v>KD</v>
      </c>
      <c r="AC21" s="16">
        <f>IFERROR(ROUND(AVERAGE(I21,M21,Q21,U21,Y21),1),"Erro")</f>
        <v>1</v>
      </c>
      <c r="AD21" s="14">
        <f t="shared" si="2"/>
        <v>10.4</v>
      </c>
    </row>
    <row r="22" spans="2:30" outlineLevel="2" x14ac:dyDescent="0.25">
      <c r="B22" s="18" t="s">
        <v>14</v>
      </c>
      <c r="C22" s="18" t="s">
        <v>15</v>
      </c>
      <c r="D22" s="18" t="s">
        <v>16</v>
      </c>
      <c r="E22" s="47" t="s">
        <v>142</v>
      </c>
      <c r="F22" s="26" t="s">
        <v>35</v>
      </c>
      <c r="G22" s="23">
        <v>6.5</v>
      </c>
      <c r="H22" s="24" t="s">
        <v>20</v>
      </c>
      <c r="I22" s="24">
        <v>1</v>
      </c>
      <c r="J22" s="38">
        <v>1</v>
      </c>
      <c r="K22" s="23">
        <v>6.83</v>
      </c>
      <c r="L22" s="24" t="s">
        <v>20</v>
      </c>
      <c r="M22" s="24">
        <v>1</v>
      </c>
      <c r="N22" s="38">
        <v>1</v>
      </c>
      <c r="O22" s="23">
        <v>8.2200000000000006</v>
      </c>
      <c r="P22" s="24" t="s">
        <v>20</v>
      </c>
      <c r="Q22" s="24">
        <v>1</v>
      </c>
      <c r="R22" s="38">
        <v>1</v>
      </c>
      <c r="S22" s="23">
        <v>6.83</v>
      </c>
      <c r="T22" s="24" t="s">
        <v>20</v>
      </c>
      <c r="U22" s="24">
        <v>1</v>
      </c>
      <c r="V22" s="38">
        <v>1</v>
      </c>
      <c r="W22" s="23">
        <v>8.2200000000000006</v>
      </c>
      <c r="X22" s="24" t="s">
        <v>20</v>
      </c>
      <c r="Y22" s="24">
        <v>1</v>
      </c>
      <c r="Z22" s="38">
        <v>1</v>
      </c>
      <c r="AA22" s="16">
        <f>IFERROR(ROUND(AVERAGE(G22,K22,O22,S22,W22),1),"Erro")</f>
        <v>7.3</v>
      </c>
      <c r="AB22" s="16" t="str">
        <f>H22</f>
        <v>KD</v>
      </c>
      <c r="AC22" s="16">
        <f>IFERROR(ROUND(AVERAGE(I22,M22,Q22,U22,Y22),1),"Erro")</f>
        <v>1</v>
      </c>
      <c r="AD22" s="14">
        <f t="shared" si="2"/>
        <v>7.3</v>
      </c>
    </row>
    <row r="23" spans="2:30" outlineLevel="1" x14ac:dyDescent="0.25">
      <c r="B23" s="18" t="s">
        <v>14</v>
      </c>
      <c r="C23" s="18" t="s">
        <v>15</v>
      </c>
      <c r="D23" s="18" t="s">
        <v>16</v>
      </c>
      <c r="E23" s="47">
        <v>3</v>
      </c>
      <c r="F23" s="25" t="s">
        <v>36</v>
      </c>
      <c r="G23" s="13">
        <f>SUM(G24:G29)</f>
        <v>35.83</v>
      </c>
      <c r="H23" s="12" t="s">
        <v>20</v>
      </c>
      <c r="I23" s="12">
        <v>1</v>
      </c>
      <c r="J23" s="35">
        <v>1</v>
      </c>
      <c r="K23" s="13">
        <f>SUM(K24:K29)</f>
        <v>47.89</v>
      </c>
      <c r="L23" s="12" t="s">
        <v>20</v>
      </c>
      <c r="M23" s="12">
        <v>1</v>
      </c>
      <c r="N23" s="35">
        <v>1</v>
      </c>
      <c r="O23" s="13">
        <f>SUM(O24:O29)</f>
        <v>44.999999999999993</v>
      </c>
      <c r="P23" s="12" t="s">
        <v>20</v>
      </c>
      <c r="Q23" s="12">
        <v>1</v>
      </c>
      <c r="R23" s="35">
        <v>1</v>
      </c>
      <c r="S23" s="13">
        <f>SUM(S24:S29)</f>
        <v>47.89</v>
      </c>
      <c r="T23" s="12" t="s">
        <v>20</v>
      </c>
      <c r="U23" s="12">
        <v>1</v>
      </c>
      <c r="V23" s="35">
        <v>1</v>
      </c>
      <c r="W23" s="13">
        <f>SUM(W24:W29)</f>
        <v>44.999999999999993</v>
      </c>
      <c r="X23" s="12" t="s">
        <v>20</v>
      </c>
      <c r="Y23" s="12">
        <v>1</v>
      </c>
      <c r="Z23" s="35">
        <v>1</v>
      </c>
      <c r="AA23" s="15">
        <f>SUM(AA24:AA29)</f>
        <v>44.3</v>
      </c>
      <c r="AB23" s="12" t="str">
        <f>AB24</f>
        <v>KD</v>
      </c>
      <c r="AC23" s="12">
        <f>IFERROR(ROUND(AVERAGE(AC24:AC29),0),"-")</f>
        <v>1</v>
      </c>
      <c r="AD23" s="15">
        <f>SUM(AD24:AD29)</f>
        <v>44.3</v>
      </c>
    </row>
    <row r="24" spans="2:30" outlineLevel="2" x14ac:dyDescent="0.25">
      <c r="B24" s="18" t="s">
        <v>14</v>
      </c>
      <c r="C24" s="18" t="s">
        <v>15</v>
      </c>
      <c r="D24" s="18" t="s">
        <v>16</v>
      </c>
      <c r="E24" s="47" t="s">
        <v>143</v>
      </c>
      <c r="F24" s="22" t="s">
        <v>37</v>
      </c>
      <c r="G24" s="23">
        <v>3.97</v>
      </c>
      <c r="H24" s="24" t="s">
        <v>20</v>
      </c>
      <c r="I24" s="24">
        <v>1</v>
      </c>
      <c r="J24" s="38">
        <v>1</v>
      </c>
      <c r="K24" s="23">
        <v>5.66</v>
      </c>
      <c r="L24" s="24" t="s">
        <v>20</v>
      </c>
      <c r="M24" s="24">
        <v>1</v>
      </c>
      <c r="N24" s="38">
        <v>1</v>
      </c>
      <c r="O24" s="23">
        <v>4.13</v>
      </c>
      <c r="P24" s="24" t="s">
        <v>20</v>
      </c>
      <c r="Q24" s="24">
        <v>1</v>
      </c>
      <c r="R24" s="38">
        <v>1</v>
      </c>
      <c r="S24" s="23">
        <v>5.66</v>
      </c>
      <c r="T24" s="24" t="s">
        <v>20</v>
      </c>
      <c r="U24" s="24">
        <v>1</v>
      </c>
      <c r="V24" s="38">
        <v>1</v>
      </c>
      <c r="W24" s="23">
        <v>4.13</v>
      </c>
      <c r="X24" s="24" t="s">
        <v>20</v>
      </c>
      <c r="Y24" s="24">
        <v>1</v>
      </c>
      <c r="Z24" s="38">
        <v>1</v>
      </c>
      <c r="AA24" s="16">
        <f>IFERROR(ROUND(AVERAGE(G24,K24,O24,S24,W24),1),"Erro")</f>
        <v>4.7</v>
      </c>
      <c r="AB24" s="16" t="str">
        <f>H24</f>
        <v>KD</v>
      </c>
      <c r="AC24" s="16">
        <f>IFERROR(ROUND(AVERAGE(I24,M24,Q24,U24,Y24),1),"Erro")</f>
        <v>1</v>
      </c>
      <c r="AD24" s="14">
        <f>IFERROR(ROUND(AA24/AC24,1),"Erro")</f>
        <v>4.7</v>
      </c>
    </row>
    <row r="25" spans="2:30" outlineLevel="2" x14ac:dyDescent="0.25">
      <c r="B25" s="18" t="s">
        <v>14</v>
      </c>
      <c r="C25" s="18" t="s">
        <v>15</v>
      </c>
      <c r="D25" s="18" t="s">
        <v>16</v>
      </c>
      <c r="E25" s="47" t="s">
        <v>144</v>
      </c>
      <c r="F25" s="26" t="s">
        <v>38</v>
      </c>
      <c r="G25" s="23">
        <v>3.6</v>
      </c>
      <c r="H25" s="24" t="s">
        <v>20</v>
      </c>
      <c r="I25" s="24">
        <v>1</v>
      </c>
      <c r="J25" s="38">
        <v>1</v>
      </c>
      <c r="K25" s="23">
        <v>4.2699999999999996</v>
      </c>
      <c r="L25" s="24" t="s">
        <v>20</v>
      </c>
      <c r="M25" s="24">
        <v>1</v>
      </c>
      <c r="N25" s="38">
        <v>1</v>
      </c>
      <c r="O25" s="23">
        <v>3.98</v>
      </c>
      <c r="P25" s="24" t="s">
        <v>20</v>
      </c>
      <c r="Q25" s="24">
        <v>1</v>
      </c>
      <c r="R25" s="38">
        <v>1</v>
      </c>
      <c r="S25" s="23">
        <v>4.2699999999999996</v>
      </c>
      <c r="T25" s="24" t="s">
        <v>20</v>
      </c>
      <c r="U25" s="24">
        <v>1</v>
      </c>
      <c r="V25" s="38">
        <v>1</v>
      </c>
      <c r="W25" s="23">
        <v>3.98</v>
      </c>
      <c r="X25" s="24" t="s">
        <v>20</v>
      </c>
      <c r="Y25" s="24">
        <v>1</v>
      </c>
      <c r="Z25" s="38">
        <v>1</v>
      </c>
      <c r="AA25" s="16">
        <f>IFERROR(ROUND(AVERAGE(G25,K25,O25,S25,W25),1),"Erro")</f>
        <v>4</v>
      </c>
      <c r="AB25" s="16" t="str">
        <f>H25</f>
        <v>KD</v>
      </c>
      <c r="AC25" s="16">
        <f>IFERROR(ROUND(AVERAGE(I25,M25,Q25,U25,Y25),1),"Erro")</f>
        <v>1</v>
      </c>
      <c r="AD25" s="14">
        <f t="shared" ref="AD25:AD29" si="3">IFERROR(ROUND(AA25/AC25,1),"Erro")</f>
        <v>4</v>
      </c>
    </row>
    <row r="26" spans="2:30" outlineLevel="2" x14ac:dyDescent="0.25">
      <c r="B26" s="18" t="s">
        <v>14</v>
      </c>
      <c r="C26" s="18" t="s">
        <v>15</v>
      </c>
      <c r="D26" s="18" t="s">
        <v>16</v>
      </c>
      <c r="E26" s="47" t="s">
        <v>145</v>
      </c>
      <c r="F26" s="22" t="s">
        <v>39</v>
      </c>
      <c r="G26" s="23">
        <v>9.2899999999999991</v>
      </c>
      <c r="H26" s="24" t="s">
        <v>20</v>
      </c>
      <c r="I26" s="24">
        <v>1</v>
      </c>
      <c r="J26" s="38">
        <v>1</v>
      </c>
      <c r="K26" s="23">
        <v>11.65</v>
      </c>
      <c r="L26" s="24" t="s">
        <v>20</v>
      </c>
      <c r="M26" s="24">
        <v>1</v>
      </c>
      <c r="N26" s="38">
        <v>1</v>
      </c>
      <c r="O26" s="23">
        <v>14.7</v>
      </c>
      <c r="P26" s="24" t="s">
        <v>20</v>
      </c>
      <c r="Q26" s="24">
        <v>1</v>
      </c>
      <c r="R26" s="38">
        <v>1</v>
      </c>
      <c r="S26" s="23">
        <v>11.65</v>
      </c>
      <c r="T26" s="24" t="s">
        <v>20</v>
      </c>
      <c r="U26" s="24">
        <v>1</v>
      </c>
      <c r="V26" s="38">
        <v>1</v>
      </c>
      <c r="W26" s="23">
        <v>14.7</v>
      </c>
      <c r="X26" s="24" t="s">
        <v>20</v>
      </c>
      <c r="Y26" s="24">
        <v>1</v>
      </c>
      <c r="Z26" s="38">
        <v>1</v>
      </c>
      <c r="AA26" s="16">
        <f>IFERROR(ROUND(AVERAGE(G26,K26,O26,S26,W26),1),"Erro")</f>
        <v>12.4</v>
      </c>
      <c r="AB26" s="16" t="str">
        <f>H26</f>
        <v>KD</v>
      </c>
      <c r="AC26" s="16">
        <f>IFERROR(ROUND(AVERAGE(I26,M26,Q26,U26,Y26),1),"Erro")</f>
        <v>1</v>
      </c>
      <c r="AD26" s="14">
        <f t="shared" si="3"/>
        <v>12.4</v>
      </c>
    </row>
    <row r="27" spans="2:30" outlineLevel="2" x14ac:dyDescent="0.25">
      <c r="B27" s="18" t="s">
        <v>14</v>
      </c>
      <c r="C27" s="18" t="s">
        <v>15</v>
      </c>
      <c r="D27" s="18" t="s">
        <v>16</v>
      </c>
      <c r="E27" s="47" t="s">
        <v>146</v>
      </c>
      <c r="F27" s="22" t="s">
        <v>40</v>
      </c>
      <c r="G27" s="23">
        <v>9.7799999999999994</v>
      </c>
      <c r="H27" s="24" t="s">
        <v>20</v>
      </c>
      <c r="I27" s="24">
        <v>1</v>
      </c>
      <c r="J27" s="38">
        <v>1</v>
      </c>
      <c r="K27" s="23">
        <v>8.35</v>
      </c>
      <c r="L27" s="24" t="s">
        <v>20</v>
      </c>
      <c r="M27" s="24">
        <v>1</v>
      </c>
      <c r="N27" s="38">
        <v>1</v>
      </c>
      <c r="O27" s="23">
        <v>10.32</v>
      </c>
      <c r="P27" s="24" t="s">
        <v>20</v>
      </c>
      <c r="Q27" s="24">
        <v>1</v>
      </c>
      <c r="R27" s="38">
        <v>1</v>
      </c>
      <c r="S27" s="23">
        <v>8.35</v>
      </c>
      <c r="T27" s="24" t="s">
        <v>20</v>
      </c>
      <c r="U27" s="24">
        <v>1</v>
      </c>
      <c r="V27" s="38">
        <v>1</v>
      </c>
      <c r="W27" s="23">
        <v>10.32</v>
      </c>
      <c r="X27" s="24" t="s">
        <v>20</v>
      </c>
      <c r="Y27" s="24">
        <v>1</v>
      </c>
      <c r="Z27" s="38">
        <v>1</v>
      </c>
      <c r="AA27" s="16">
        <f>IFERROR(ROUND(AVERAGE(G27,K27,O27,S27,W27),1),"Erro")</f>
        <v>9.4</v>
      </c>
      <c r="AB27" s="16" t="str">
        <f>H27</f>
        <v>KD</v>
      </c>
      <c r="AC27" s="16">
        <f>IFERROR(ROUND(AVERAGE(I27,M27,Q27,U27,Y27),1),"Erro")</f>
        <v>1</v>
      </c>
      <c r="AD27" s="14">
        <f t="shared" si="3"/>
        <v>9.4</v>
      </c>
    </row>
    <row r="28" spans="2:30" outlineLevel="2" x14ac:dyDescent="0.25">
      <c r="B28" s="18" t="s">
        <v>14</v>
      </c>
      <c r="C28" s="18" t="s">
        <v>15</v>
      </c>
      <c r="D28" s="18" t="s">
        <v>16</v>
      </c>
      <c r="E28" s="47" t="s">
        <v>147</v>
      </c>
      <c r="F28" s="22" t="s">
        <v>41</v>
      </c>
      <c r="G28" s="23">
        <v>2.84</v>
      </c>
      <c r="H28" s="24" t="s">
        <v>20</v>
      </c>
      <c r="I28" s="24">
        <v>1</v>
      </c>
      <c r="J28" s="38">
        <v>1</v>
      </c>
      <c r="K28" s="23">
        <v>3.8</v>
      </c>
      <c r="L28" s="24" t="s">
        <v>20</v>
      </c>
      <c r="M28" s="24">
        <v>1</v>
      </c>
      <c r="N28" s="38">
        <v>1</v>
      </c>
      <c r="O28" s="23">
        <v>2.97</v>
      </c>
      <c r="P28" s="24" t="s">
        <v>20</v>
      </c>
      <c r="Q28" s="24">
        <v>1</v>
      </c>
      <c r="R28" s="38">
        <v>1</v>
      </c>
      <c r="S28" s="23">
        <v>3.8</v>
      </c>
      <c r="T28" s="24" t="s">
        <v>20</v>
      </c>
      <c r="U28" s="24">
        <v>1</v>
      </c>
      <c r="V28" s="38">
        <v>1</v>
      </c>
      <c r="W28" s="23">
        <v>2.97</v>
      </c>
      <c r="X28" s="24" t="s">
        <v>20</v>
      </c>
      <c r="Y28" s="24">
        <v>1</v>
      </c>
      <c r="Z28" s="38">
        <v>1</v>
      </c>
      <c r="AA28" s="16">
        <f>IFERROR(ROUND(AVERAGE(G28,K28,O28,S28,W28),1),"Erro")</f>
        <v>3.3</v>
      </c>
      <c r="AB28" s="16" t="str">
        <f>H28</f>
        <v>KD</v>
      </c>
      <c r="AC28" s="16">
        <f>IFERROR(ROUND(AVERAGE(I28,M28,Q28,U28,Y28),1),"Erro")</f>
        <v>1</v>
      </c>
      <c r="AD28" s="14">
        <f t="shared" si="3"/>
        <v>3.3</v>
      </c>
    </row>
    <row r="29" spans="2:30" outlineLevel="2" x14ac:dyDescent="0.25">
      <c r="B29" s="18" t="s">
        <v>14</v>
      </c>
      <c r="C29" s="18" t="s">
        <v>15</v>
      </c>
      <c r="D29" s="18" t="s">
        <v>16</v>
      </c>
      <c r="E29" s="47" t="s">
        <v>148</v>
      </c>
      <c r="F29" s="22" t="s">
        <v>42</v>
      </c>
      <c r="G29" s="23">
        <v>6.35</v>
      </c>
      <c r="H29" s="24" t="s">
        <v>20</v>
      </c>
      <c r="I29" s="24">
        <v>1</v>
      </c>
      <c r="J29" s="38">
        <v>1</v>
      </c>
      <c r="K29" s="23">
        <v>14.16</v>
      </c>
      <c r="L29" s="24" t="s">
        <v>20</v>
      </c>
      <c r="M29" s="24">
        <v>1</v>
      </c>
      <c r="N29" s="38">
        <v>1</v>
      </c>
      <c r="O29" s="23">
        <v>8.9</v>
      </c>
      <c r="P29" s="24" t="s">
        <v>20</v>
      </c>
      <c r="Q29" s="24">
        <v>1</v>
      </c>
      <c r="R29" s="38">
        <v>1</v>
      </c>
      <c r="S29" s="23">
        <v>14.16</v>
      </c>
      <c r="T29" s="24" t="s">
        <v>20</v>
      </c>
      <c r="U29" s="24">
        <v>1</v>
      </c>
      <c r="V29" s="38">
        <v>1</v>
      </c>
      <c r="W29" s="23">
        <v>8.9</v>
      </c>
      <c r="X29" s="24" t="s">
        <v>20</v>
      </c>
      <c r="Y29" s="24">
        <v>1</v>
      </c>
      <c r="Z29" s="38">
        <v>1</v>
      </c>
      <c r="AA29" s="16">
        <f>IFERROR(ROUND(AVERAGE(G29,K29,O29,S29,W29),1),"Erro")</f>
        <v>10.5</v>
      </c>
      <c r="AB29" s="16" t="str">
        <f>H29</f>
        <v>KD</v>
      </c>
      <c r="AC29" s="16">
        <f>IFERROR(ROUND(AVERAGE(I29,M29,Q29,U29,Y29),1),"Erro")</f>
        <v>1</v>
      </c>
      <c r="AD29" s="14">
        <f t="shared" si="3"/>
        <v>10.5</v>
      </c>
    </row>
    <row r="30" spans="2:30" outlineLevel="1" x14ac:dyDescent="0.25">
      <c r="B30" s="18" t="s">
        <v>14</v>
      </c>
      <c r="C30" s="18" t="s">
        <v>15</v>
      </c>
      <c r="D30" s="18" t="s">
        <v>16</v>
      </c>
      <c r="E30" s="47">
        <v>4</v>
      </c>
      <c r="F30" s="21" t="s">
        <v>43</v>
      </c>
      <c r="G30" s="13">
        <f>SUM(G31:G37)</f>
        <v>112.82</v>
      </c>
      <c r="H30" s="12" t="s">
        <v>20</v>
      </c>
      <c r="I30" s="12">
        <v>1</v>
      </c>
      <c r="J30" s="35">
        <v>1</v>
      </c>
      <c r="K30" s="13">
        <f>SUM(K31:K37)</f>
        <v>124.04999999999998</v>
      </c>
      <c r="L30" s="12" t="s">
        <v>20</v>
      </c>
      <c r="M30" s="12">
        <v>1</v>
      </c>
      <c r="N30" s="35">
        <v>1</v>
      </c>
      <c r="O30" s="13">
        <f>SUM(O31:O37)</f>
        <v>138.93</v>
      </c>
      <c r="P30" s="12" t="s">
        <v>20</v>
      </c>
      <c r="Q30" s="12">
        <v>1</v>
      </c>
      <c r="R30" s="35">
        <v>1</v>
      </c>
      <c r="S30" s="13">
        <f>SUM(S31:S37)</f>
        <v>124.04999999999998</v>
      </c>
      <c r="T30" s="12" t="s">
        <v>20</v>
      </c>
      <c r="U30" s="12">
        <v>1</v>
      </c>
      <c r="V30" s="35">
        <v>1</v>
      </c>
      <c r="W30" s="13">
        <f>SUM(W31:W37)</f>
        <v>138.93</v>
      </c>
      <c r="X30" s="12" t="s">
        <v>20</v>
      </c>
      <c r="Y30" s="12">
        <v>1</v>
      </c>
      <c r="Z30" s="35">
        <v>1</v>
      </c>
      <c r="AA30" s="15">
        <f>SUM(AA31:AA37)</f>
        <v>127.69999999999999</v>
      </c>
      <c r="AB30" s="12" t="str">
        <f>AB31</f>
        <v>KD</v>
      </c>
      <c r="AC30" s="12">
        <f>IFERROR(ROUND(AVERAGE(AC31:AC37),0),"-")</f>
        <v>1</v>
      </c>
      <c r="AD30" s="15">
        <f>SUM(AD31:AD37)</f>
        <v>127.69999999999999</v>
      </c>
    </row>
    <row r="31" spans="2:30" outlineLevel="2" x14ac:dyDescent="0.25">
      <c r="B31" s="18" t="s">
        <v>14</v>
      </c>
      <c r="C31" s="18" t="s">
        <v>15</v>
      </c>
      <c r="D31" s="18" t="s">
        <v>16</v>
      </c>
      <c r="E31" s="47" t="s">
        <v>149</v>
      </c>
      <c r="F31" s="26" t="s">
        <v>44</v>
      </c>
      <c r="G31" s="23">
        <v>5.13</v>
      </c>
      <c r="H31" s="24" t="s">
        <v>20</v>
      </c>
      <c r="I31" s="24">
        <v>1</v>
      </c>
      <c r="J31" s="38">
        <v>1</v>
      </c>
      <c r="K31" s="23">
        <v>7.8</v>
      </c>
      <c r="L31" s="24" t="s">
        <v>20</v>
      </c>
      <c r="M31" s="24">
        <v>1</v>
      </c>
      <c r="N31" s="38">
        <v>1</v>
      </c>
      <c r="O31" s="23">
        <v>7.15</v>
      </c>
      <c r="P31" s="24" t="s">
        <v>20</v>
      </c>
      <c r="Q31" s="24">
        <v>1</v>
      </c>
      <c r="R31" s="38">
        <v>1</v>
      </c>
      <c r="S31" s="23">
        <v>7.8</v>
      </c>
      <c r="T31" s="24" t="s">
        <v>20</v>
      </c>
      <c r="U31" s="24">
        <v>1</v>
      </c>
      <c r="V31" s="38">
        <v>1</v>
      </c>
      <c r="W31" s="23">
        <v>7.15</v>
      </c>
      <c r="X31" s="24" t="s">
        <v>20</v>
      </c>
      <c r="Y31" s="24">
        <v>1</v>
      </c>
      <c r="Z31" s="38">
        <v>1</v>
      </c>
      <c r="AA31" s="16">
        <f>IFERROR(ROUND(AVERAGE(G31,K31,O31,S31,W31),1),"Erro")</f>
        <v>7</v>
      </c>
      <c r="AB31" s="16" t="str">
        <f>H31</f>
        <v>KD</v>
      </c>
      <c r="AC31" s="16">
        <f>IFERROR(ROUND(AVERAGE(I31,M31,Q31,U31,Y31),1),"Erro")</f>
        <v>1</v>
      </c>
      <c r="AD31" s="14">
        <f>IFERROR(ROUND(AA31/AC31,1),"Erro")</f>
        <v>7</v>
      </c>
    </row>
    <row r="32" spans="2:30" outlineLevel="2" x14ac:dyDescent="0.25">
      <c r="B32" s="18" t="s">
        <v>14</v>
      </c>
      <c r="C32" s="18" t="s">
        <v>15</v>
      </c>
      <c r="D32" s="18" t="s">
        <v>16</v>
      </c>
      <c r="E32" s="47" t="s">
        <v>150</v>
      </c>
      <c r="F32" s="27" t="s">
        <v>45</v>
      </c>
      <c r="G32" s="23">
        <v>42.39</v>
      </c>
      <c r="H32" s="24" t="s">
        <v>20</v>
      </c>
      <c r="I32" s="24">
        <v>1</v>
      </c>
      <c r="J32" s="38">
        <v>1</v>
      </c>
      <c r="K32" s="23">
        <v>35.1</v>
      </c>
      <c r="L32" s="24" t="s">
        <v>20</v>
      </c>
      <c r="M32" s="24">
        <v>1</v>
      </c>
      <c r="N32" s="38">
        <v>1</v>
      </c>
      <c r="O32" s="23">
        <v>55.7</v>
      </c>
      <c r="P32" s="24" t="s">
        <v>20</v>
      </c>
      <c r="Q32" s="24">
        <v>1</v>
      </c>
      <c r="R32" s="38">
        <v>1</v>
      </c>
      <c r="S32" s="23">
        <v>35.1</v>
      </c>
      <c r="T32" s="24" t="s">
        <v>20</v>
      </c>
      <c r="U32" s="24">
        <v>1</v>
      </c>
      <c r="V32" s="38">
        <v>1</v>
      </c>
      <c r="W32" s="23">
        <v>55.7</v>
      </c>
      <c r="X32" s="24" t="s">
        <v>20</v>
      </c>
      <c r="Y32" s="24">
        <v>1</v>
      </c>
      <c r="Z32" s="38">
        <v>1</v>
      </c>
      <c r="AA32" s="16">
        <f>IFERROR(ROUND(AVERAGE(G32,K32,O32,S32,W32),1),"Erro")</f>
        <v>44.8</v>
      </c>
      <c r="AB32" s="16" t="str">
        <f>H32</f>
        <v>KD</v>
      </c>
      <c r="AC32" s="16">
        <f>IFERROR(ROUND(AVERAGE(I32,M32,Q32,U32,Y32),1),"Erro")</f>
        <v>1</v>
      </c>
      <c r="AD32" s="14">
        <f t="shared" ref="AD32:AD37" si="4">IFERROR(ROUND(AA32/AC32,1),"Erro")</f>
        <v>44.8</v>
      </c>
    </row>
    <row r="33" spans="2:30" outlineLevel="2" x14ac:dyDescent="0.25">
      <c r="B33" s="18" t="s">
        <v>14</v>
      </c>
      <c r="C33" s="18" t="s">
        <v>15</v>
      </c>
      <c r="D33" s="18" t="s">
        <v>16</v>
      </c>
      <c r="E33" s="47" t="s">
        <v>151</v>
      </c>
      <c r="F33" s="26" t="s">
        <v>46</v>
      </c>
      <c r="G33" s="23">
        <v>4.71</v>
      </c>
      <c r="H33" s="24" t="s">
        <v>20</v>
      </c>
      <c r="I33" s="24">
        <v>1</v>
      </c>
      <c r="J33" s="38">
        <v>1</v>
      </c>
      <c r="K33" s="23">
        <v>6.15</v>
      </c>
      <c r="L33" s="24" t="s">
        <v>20</v>
      </c>
      <c r="M33" s="24">
        <v>1</v>
      </c>
      <c r="N33" s="38">
        <v>1</v>
      </c>
      <c r="O33" s="23">
        <v>8.1</v>
      </c>
      <c r="P33" s="24" t="s">
        <v>20</v>
      </c>
      <c r="Q33" s="24">
        <v>1</v>
      </c>
      <c r="R33" s="38">
        <v>1</v>
      </c>
      <c r="S33" s="23">
        <v>6.15</v>
      </c>
      <c r="T33" s="24" t="s">
        <v>20</v>
      </c>
      <c r="U33" s="24">
        <v>1</v>
      </c>
      <c r="V33" s="38">
        <v>1</v>
      </c>
      <c r="W33" s="23">
        <v>8.1</v>
      </c>
      <c r="X33" s="24" t="s">
        <v>20</v>
      </c>
      <c r="Y33" s="24">
        <v>1</v>
      </c>
      <c r="Z33" s="38">
        <v>1</v>
      </c>
      <c r="AA33" s="16">
        <f>IFERROR(ROUND(AVERAGE(G33,K33,O33,S33,W33),1),"Erro")</f>
        <v>6.6</v>
      </c>
      <c r="AB33" s="16" t="str">
        <f>H33</f>
        <v>KD</v>
      </c>
      <c r="AC33" s="16">
        <f>IFERROR(ROUND(AVERAGE(I33,M33,Q33,U33,Y33),1),"Erro")</f>
        <v>1</v>
      </c>
      <c r="AD33" s="14">
        <f t="shared" si="4"/>
        <v>6.6</v>
      </c>
    </row>
    <row r="34" spans="2:30" outlineLevel="2" x14ac:dyDescent="0.25">
      <c r="B34" s="18" t="s">
        <v>14</v>
      </c>
      <c r="C34" s="18" t="s">
        <v>15</v>
      </c>
      <c r="D34" s="18" t="s">
        <v>16</v>
      </c>
      <c r="E34" s="47" t="s">
        <v>152</v>
      </c>
      <c r="F34" s="26" t="s">
        <v>47</v>
      </c>
      <c r="G34" s="23">
        <v>43.56</v>
      </c>
      <c r="H34" s="24" t="s">
        <v>20</v>
      </c>
      <c r="I34" s="24">
        <v>1</v>
      </c>
      <c r="J34" s="38">
        <v>1</v>
      </c>
      <c r="K34" s="23">
        <v>55.12</v>
      </c>
      <c r="L34" s="24" t="s">
        <v>20</v>
      </c>
      <c r="M34" s="24">
        <v>1</v>
      </c>
      <c r="N34" s="38">
        <v>1</v>
      </c>
      <c r="O34" s="23">
        <v>45.1</v>
      </c>
      <c r="P34" s="24" t="s">
        <v>20</v>
      </c>
      <c r="Q34" s="24">
        <v>1</v>
      </c>
      <c r="R34" s="38">
        <v>1</v>
      </c>
      <c r="S34" s="23">
        <v>55.12</v>
      </c>
      <c r="T34" s="24" t="s">
        <v>20</v>
      </c>
      <c r="U34" s="24">
        <v>1</v>
      </c>
      <c r="V34" s="38">
        <v>1</v>
      </c>
      <c r="W34" s="23">
        <v>45.1</v>
      </c>
      <c r="X34" s="24" t="s">
        <v>20</v>
      </c>
      <c r="Y34" s="24">
        <v>1</v>
      </c>
      <c r="Z34" s="38">
        <v>1</v>
      </c>
      <c r="AA34" s="16">
        <f>IFERROR(ROUND(AVERAGE(G34,K34,O34,S34,W34),1),"Erro")</f>
        <v>48.8</v>
      </c>
      <c r="AB34" s="16" t="str">
        <f>H34</f>
        <v>KD</v>
      </c>
      <c r="AC34" s="16">
        <f>IFERROR(ROUND(AVERAGE(I34,M34,Q34,U34,Y34),1),"Erro")</f>
        <v>1</v>
      </c>
      <c r="AD34" s="14">
        <f t="shared" si="4"/>
        <v>48.8</v>
      </c>
    </row>
    <row r="35" spans="2:30" outlineLevel="2" x14ac:dyDescent="0.25">
      <c r="B35" s="18" t="s">
        <v>14</v>
      </c>
      <c r="C35" s="18" t="s">
        <v>15</v>
      </c>
      <c r="D35" s="18" t="s">
        <v>16</v>
      </c>
      <c r="E35" s="47" t="s">
        <v>153</v>
      </c>
      <c r="F35" s="26" t="s">
        <v>48</v>
      </c>
      <c r="G35" s="23">
        <v>11.74</v>
      </c>
      <c r="H35" s="24" t="s">
        <v>20</v>
      </c>
      <c r="I35" s="24">
        <v>1</v>
      </c>
      <c r="J35" s="38">
        <v>1</v>
      </c>
      <c r="K35" s="23">
        <v>13.1</v>
      </c>
      <c r="L35" s="24" t="s">
        <v>20</v>
      </c>
      <c r="M35" s="24">
        <v>1</v>
      </c>
      <c r="N35" s="38">
        <v>1</v>
      </c>
      <c r="O35" s="23">
        <v>13.97</v>
      </c>
      <c r="P35" s="24" t="s">
        <v>20</v>
      </c>
      <c r="Q35" s="24">
        <v>1</v>
      </c>
      <c r="R35" s="38">
        <v>1</v>
      </c>
      <c r="S35" s="23">
        <v>13.1</v>
      </c>
      <c r="T35" s="24" t="s">
        <v>20</v>
      </c>
      <c r="U35" s="24">
        <v>1</v>
      </c>
      <c r="V35" s="38">
        <v>1</v>
      </c>
      <c r="W35" s="23">
        <v>13.97</v>
      </c>
      <c r="X35" s="24" t="s">
        <v>20</v>
      </c>
      <c r="Y35" s="24">
        <v>1</v>
      </c>
      <c r="Z35" s="38">
        <v>1</v>
      </c>
      <c r="AA35" s="16">
        <f>IFERROR(ROUND(AVERAGE(G35,K35,O35,S35,W35),1),"Erro")</f>
        <v>13.2</v>
      </c>
      <c r="AB35" s="16" t="str">
        <f>H35</f>
        <v>KD</v>
      </c>
      <c r="AC35" s="16">
        <f>IFERROR(ROUND(AVERAGE(I35,M35,Q35,U35,Y35),1),"Erro")</f>
        <v>1</v>
      </c>
      <c r="AD35" s="14">
        <f t="shared" si="4"/>
        <v>13.2</v>
      </c>
    </row>
    <row r="36" spans="2:30" outlineLevel="2" x14ac:dyDescent="0.25">
      <c r="B36" s="18" t="s">
        <v>14</v>
      </c>
      <c r="C36" s="18" t="s">
        <v>15</v>
      </c>
      <c r="D36" s="18" t="s">
        <v>16</v>
      </c>
      <c r="E36" s="47" t="s">
        <v>154</v>
      </c>
      <c r="F36" s="26" t="s">
        <v>49</v>
      </c>
      <c r="G36" s="23">
        <v>2.88</v>
      </c>
      <c r="H36" s="24" t="s">
        <v>20</v>
      </c>
      <c r="I36" s="24">
        <v>1</v>
      </c>
      <c r="J36" s="38">
        <v>1</v>
      </c>
      <c r="K36" s="23">
        <v>3.97</v>
      </c>
      <c r="L36" s="24" t="s">
        <v>20</v>
      </c>
      <c r="M36" s="24">
        <v>1</v>
      </c>
      <c r="N36" s="38">
        <v>1</v>
      </c>
      <c r="O36" s="23">
        <v>4.66</v>
      </c>
      <c r="P36" s="24" t="s">
        <v>20</v>
      </c>
      <c r="Q36" s="24">
        <v>1</v>
      </c>
      <c r="R36" s="38">
        <v>1</v>
      </c>
      <c r="S36" s="23">
        <v>3.97</v>
      </c>
      <c r="T36" s="24" t="s">
        <v>20</v>
      </c>
      <c r="U36" s="24">
        <v>1</v>
      </c>
      <c r="V36" s="38">
        <v>1</v>
      </c>
      <c r="W36" s="23">
        <v>4.66</v>
      </c>
      <c r="X36" s="24" t="s">
        <v>20</v>
      </c>
      <c r="Y36" s="24">
        <v>1</v>
      </c>
      <c r="Z36" s="38">
        <v>1</v>
      </c>
      <c r="AA36" s="16">
        <f>IFERROR(ROUND(AVERAGE(G36,K36,O36,S36,W36),1),"Erro")</f>
        <v>4</v>
      </c>
      <c r="AB36" s="16" t="str">
        <f>H36</f>
        <v>KD</v>
      </c>
      <c r="AC36" s="16">
        <f>IFERROR(ROUND(AVERAGE(I36,M36,Q36,U36,Y36),1),"Erro")</f>
        <v>1</v>
      </c>
      <c r="AD36" s="14">
        <f t="shared" si="4"/>
        <v>4</v>
      </c>
    </row>
    <row r="37" spans="2:30" outlineLevel="2" x14ac:dyDescent="0.25">
      <c r="B37" s="18" t="s">
        <v>14</v>
      </c>
      <c r="C37" s="18" t="s">
        <v>15</v>
      </c>
      <c r="D37" s="18" t="s">
        <v>16</v>
      </c>
      <c r="E37" s="47" t="s">
        <v>155</v>
      </c>
      <c r="F37" s="26" t="s">
        <v>50</v>
      </c>
      <c r="G37" s="23">
        <v>2.41</v>
      </c>
      <c r="H37" s="24" t="s">
        <v>20</v>
      </c>
      <c r="I37" s="24">
        <v>1</v>
      </c>
      <c r="J37" s="38">
        <v>1</v>
      </c>
      <c r="K37" s="23">
        <v>2.81</v>
      </c>
      <c r="L37" s="24" t="s">
        <v>20</v>
      </c>
      <c r="M37" s="24">
        <v>1</v>
      </c>
      <c r="N37" s="38">
        <v>1</v>
      </c>
      <c r="O37" s="23">
        <v>4.25</v>
      </c>
      <c r="P37" s="24" t="s">
        <v>20</v>
      </c>
      <c r="Q37" s="24">
        <v>1</v>
      </c>
      <c r="R37" s="38">
        <v>1</v>
      </c>
      <c r="S37" s="23">
        <v>2.81</v>
      </c>
      <c r="T37" s="24" t="s">
        <v>20</v>
      </c>
      <c r="U37" s="24">
        <v>1</v>
      </c>
      <c r="V37" s="38">
        <v>1</v>
      </c>
      <c r="W37" s="23">
        <v>4.25</v>
      </c>
      <c r="X37" s="24" t="s">
        <v>20</v>
      </c>
      <c r="Y37" s="24">
        <v>1</v>
      </c>
      <c r="Z37" s="38">
        <v>1</v>
      </c>
      <c r="AA37" s="16">
        <f>IFERROR(ROUND(AVERAGE(G37,K37,O37,S37,W37),1),"Erro")</f>
        <v>3.3</v>
      </c>
      <c r="AB37" s="16" t="str">
        <f>H37</f>
        <v>KD</v>
      </c>
      <c r="AC37" s="16">
        <f>IFERROR(ROUND(AVERAGE(I37,M37,Q37,U37,Y37),1),"Erro")</f>
        <v>1</v>
      </c>
      <c r="AD37" s="14">
        <f t="shared" si="4"/>
        <v>3.3</v>
      </c>
    </row>
    <row r="38" spans="2:30" outlineLevel="1" x14ac:dyDescent="0.25">
      <c r="B38" s="18" t="s">
        <v>14</v>
      </c>
      <c r="C38" s="18" t="s">
        <v>15</v>
      </c>
      <c r="D38" s="18" t="s">
        <v>16</v>
      </c>
      <c r="E38" s="47">
        <v>5</v>
      </c>
      <c r="F38" s="21" t="s">
        <v>51</v>
      </c>
      <c r="G38" s="13">
        <f>SUM(G39:G44)</f>
        <v>167.16</v>
      </c>
      <c r="H38" s="12" t="s">
        <v>20</v>
      </c>
      <c r="I38" s="12">
        <v>1</v>
      </c>
      <c r="J38" s="35">
        <v>1</v>
      </c>
      <c r="K38" s="13">
        <f>SUM(K39:K44)</f>
        <v>175.35</v>
      </c>
      <c r="L38" s="12" t="s">
        <v>20</v>
      </c>
      <c r="M38" s="12">
        <v>1</v>
      </c>
      <c r="N38" s="35">
        <v>1</v>
      </c>
      <c r="O38" s="13">
        <f>SUM(O39:O44)</f>
        <v>223.95999999999998</v>
      </c>
      <c r="P38" s="12" t="s">
        <v>20</v>
      </c>
      <c r="Q38" s="12">
        <v>1</v>
      </c>
      <c r="R38" s="35">
        <v>1</v>
      </c>
      <c r="S38" s="13">
        <f>SUM(S39:S44)</f>
        <v>175.35</v>
      </c>
      <c r="T38" s="12" t="s">
        <v>20</v>
      </c>
      <c r="U38" s="12">
        <v>1</v>
      </c>
      <c r="V38" s="35">
        <v>1</v>
      </c>
      <c r="W38" s="13">
        <f>SUM(W39:W44)</f>
        <v>223.95999999999998</v>
      </c>
      <c r="X38" s="12" t="s">
        <v>20</v>
      </c>
      <c r="Y38" s="12">
        <v>1</v>
      </c>
      <c r="Z38" s="35">
        <v>1</v>
      </c>
      <c r="AA38" s="15">
        <f>SUM(AA39:AA44)</f>
        <v>193.10000000000002</v>
      </c>
      <c r="AB38" s="12" t="str">
        <f>AB39</f>
        <v>KD</v>
      </c>
      <c r="AC38" s="12">
        <f>IFERROR(ROUND(AVERAGE(AC39:AC44),0),"-")</f>
        <v>1</v>
      </c>
      <c r="AD38" s="15">
        <f>SUM(AD39:AD44)</f>
        <v>193.10000000000002</v>
      </c>
    </row>
    <row r="39" spans="2:30" outlineLevel="2" x14ac:dyDescent="0.25">
      <c r="B39" s="18" t="s">
        <v>14</v>
      </c>
      <c r="C39" s="18" t="s">
        <v>15</v>
      </c>
      <c r="D39" s="18" t="s">
        <v>16</v>
      </c>
      <c r="E39" s="47" t="s">
        <v>156</v>
      </c>
      <c r="F39" s="26" t="s">
        <v>52</v>
      </c>
      <c r="G39" s="23">
        <v>4.1500000000000004</v>
      </c>
      <c r="H39" s="24" t="s">
        <v>20</v>
      </c>
      <c r="I39" s="24">
        <v>1</v>
      </c>
      <c r="J39" s="38">
        <v>1</v>
      </c>
      <c r="K39" s="23">
        <v>6.71</v>
      </c>
      <c r="L39" s="24" t="s">
        <v>20</v>
      </c>
      <c r="M39" s="24">
        <v>1</v>
      </c>
      <c r="N39" s="38">
        <v>1</v>
      </c>
      <c r="O39" s="23">
        <v>7.8</v>
      </c>
      <c r="P39" s="24" t="s">
        <v>20</v>
      </c>
      <c r="Q39" s="24">
        <v>1</v>
      </c>
      <c r="R39" s="38">
        <v>1</v>
      </c>
      <c r="S39" s="23">
        <v>6.71</v>
      </c>
      <c r="T39" s="24" t="s">
        <v>20</v>
      </c>
      <c r="U39" s="24">
        <v>1</v>
      </c>
      <c r="V39" s="38">
        <v>1</v>
      </c>
      <c r="W39" s="23">
        <v>7.8</v>
      </c>
      <c r="X39" s="24" t="s">
        <v>20</v>
      </c>
      <c r="Y39" s="24">
        <v>1</v>
      </c>
      <c r="Z39" s="38">
        <v>1</v>
      </c>
      <c r="AA39" s="16">
        <f>IFERROR(ROUND(AVERAGE(G39,K39,O39,S39,W39),1),"Erro")</f>
        <v>6.6</v>
      </c>
      <c r="AB39" s="16" t="str">
        <f>H39</f>
        <v>KD</v>
      </c>
      <c r="AC39" s="16">
        <f>IFERROR(ROUND(AVERAGE(I39,M39,Q39,U39,Y39),1),"Erro")</f>
        <v>1</v>
      </c>
      <c r="AD39" s="14">
        <f>IFERROR(ROUND(AA39/AC39,1),"Erro")</f>
        <v>6.6</v>
      </c>
    </row>
    <row r="40" spans="2:30" outlineLevel="2" x14ac:dyDescent="0.25">
      <c r="B40" s="18" t="s">
        <v>14</v>
      </c>
      <c r="C40" s="18" t="s">
        <v>15</v>
      </c>
      <c r="D40" s="18" t="s">
        <v>16</v>
      </c>
      <c r="E40" s="47" t="s">
        <v>157</v>
      </c>
      <c r="F40" s="26" t="s">
        <v>53</v>
      </c>
      <c r="G40" s="23">
        <v>8.3699999999999992</v>
      </c>
      <c r="H40" s="24" t="s">
        <v>20</v>
      </c>
      <c r="I40" s="24">
        <v>1</v>
      </c>
      <c r="J40" s="38">
        <v>1</v>
      </c>
      <c r="K40" s="23">
        <v>13.16</v>
      </c>
      <c r="L40" s="24" t="s">
        <v>20</v>
      </c>
      <c r="M40" s="24">
        <v>1</v>
      </c>
      <c r="N40" s="38">
        <v>1</v>
      </c>
      <c r="O40" s="23">
        <v>11.65</v>
      </c>
      <c r="P40" s="24" t="s">
        <v>20</v>
      </c>
      <c r="Q40" s="24">
        <v>1</v>
      </c>
      <c r="R40" s="38">
        <v>1</v>
      </c>
      <c r="S40" s="23">
        <v>13.16</v>
      </c>
      <c r="T40" s="24" t="s">
        <v>20</v>
      </c>
      <c r="U40" s="24">
        <v>1</v>
      </c>
      <c r="V40" s="38">
        <v>1</v>
      </c>
      <c r="W40" s="23">
        <v>11.65</v>
      </c>
      <c r="X40" s="24" t="s">
        <v>20</v>
      </c>
      <c r="Y40" s="24">
        <v>1</v>
      </c>
      <c r="Z40" s="38">
        <v>1</v>
      </c>
      <c r="AA40" s="16">
        <f>IFERROR(ROUND(AVERAGE(G40,K40,O40,S40,W40),1),"Erro")</f>
        <v>11.6</v>
      </c>
      <c r="AB40" s="16" t="str">
        <f>H40</f>
        <v>KD</v>
      </c>
      <c r="AC40" s="16">
        <f>IFERROR(ROUND(AVERAGE(I40,M40,Q40,U40,Y40),1),"Erro")</f>
        <v>1</v>
      </c>
      <c r="AD40" s="14">
        <f t="shared" ref="AD40:AD44" si="5">IFERROR(ROUND(AA40/AC40,1),"Erro")</f>
        <v>11.6</v>
      </c>
    </row>
    <row r="41" spans="2:30" outlineLevel="2" x14ac:dyDescent="0.25">
      <c r="B41" s="18" t="s">
        <v>14</v>
      </c>
      <c r="C41" s="18" t="s">
        <v>15</v>
      </c>
      <c r="D41" s="18" t="s">
        <v>16</v>
      </c>
      <c r="E41" s="47" t="s">
        <v>158</v>
      </c>
      <c r="F41" s="26" t="s">
        <v>54</v>
      </c>
      <c r="G41" s="23">
        <v>46.1</v>
      </c>
      <c r="H41" s="24" t="s">
        <v>20</v>
      </c>
      <c r="I41" s="24">
        <v>1</v>
      </c>
      <c r="J41" s="38">
        <v>1</v>
      </c>
      <c r="K41" s="23">
        <v>48.51</v>
      </c>
      <c r="L41" s="24" t="s">
        <v>20</v>
      </c>
      <c r="M41" s="24">
        <v>1</v>
      </c>
      <c r="N41" s="38">
        <v>1</v>
      </c>
      <c r="O41" s="23">
        <v>55.16</v>
      </c>
      <c r="P41" s="24" t="s">
        <v>20</v>
      </c>
      <c r="Q41" s="24">
        <v>1</v>
      </c>
      <c r="R41" s="38">
        <v>1</v>
      </c>
      <c r="S41" s="23">
        <v>48.51</v>
      </c>
      <c r="T41" s="24" t="s">
        <v>20</v>
      </c>
      <c r="U41" s="24">
        <v>1</v>
      </c>
      <c r="V41" s="38">
        <v>1</v>
      </c>
      <c r="W41" s="23">
        <v>55.16</v>
      </c>
      <c r="X41" s="24" t="s">
        <v>20</v>
      </c>
      <c r="Y41" s="24">
        <v>1</v>
      </c>
      <c r="Z41" s="38">
        <v>1</v>
      </c>
      <c r="AA41" s="16">
        <f>IFERROR(ROUND(AVERAGE(G41,K41,O41,S41,W41),1),"Erro")</f>
        <v>50.7</v>
      </c>
      <c r="AB41" s="16" t="str">
        <f>H41</f>
        <v>KD</v>
      </c>
      <c r="AC41" s="16">
        <f>IFERROR(ROUND(AVERAGE(I41,M41,Q41,U41,Y41),1),"Erro")</f>
        <v>1</v>
      </c>
      <c r="AD41" s="14">
        <f t="shared" si="5"/>
        <v>50.7</v>
      </c>
    </row>
    <row r="42" spans="2:30" outlineLevel="2" x14ac:dyDescent="0.25">
      <c r="B42" s="18" t="s">
        <v>14</v>
      </c>
      <c r="C42" s="18" t="s">
        <v>15</v>
      </c>
      <c r="D42" s="18" t="s">
        <v>16</v>
      </c>
      <c r="E42" s="47" t="s">
        <v>159</v>
      </c>
      <c r="F42" s="26" t="s">
        <v>55</v>
      </c>
      <c r="G42" s="23">
        <v>23.09</v>
      </c>
      <c r="H42" s="24" t="s">
        <v>20</v>
      </c>
      <c r="I42" s="24">
        <v>1</v>
      </c>
      <c r="J42" s="38">
        <v>1</v>
      </c>
      <c r="K42" s="23">
        <v>25.63</v>
      </c>
      <c r="L42" s="24" t="s">
        <v>20</v>
      </c>
      <c r="M42" s="24">
        <v>1</v>
      </c>
      <c r="N42" s="38">
        <v>1</v>
      </c>
      <c r="O42" s="23">
        <v>35.18</v>
      </c>
      <c r="P42" s="24" t="s">
        <v>20</v>
      </c>
      <c r="Q42" s="24">
        <v>1</v>
      </c>
      <c r="R42" s="38">
        <v>1</v>
      </c>
      <c r="S42" s="23">
        <v>25.63</v>
      </c>
      <c r="T42" s="24" t="s">
        <v>20</v>
      </c>
      <c r="U42" s="24">
        <v>1</v>
      </c>
      <c r="V42" s="38">
        <v>1</v>
      </c>
      <c r="W42" s="23">
        <v>35.18</v>
      </c>
      <c r="X42" s="24" t="s">
        <v>20</v>
      </c>
      <c r="Y42" s="24">
        <v>1</v>
      </c>
      <c r="Z42" s="38">
        <v>1</v>
      </c>
      <c r="AA42" s="16">
        <f>IFERROR(ROUND(AVERAGE(G42,K42,O42,S42,W42),1),"Erro")</f>
        <v>28.9</v>
      </c>
      <c r="AB42" s="16" t="str">
        <f>H42</f>
        <v>KD</v>
      </c>
      <c r="AC42" s="16">
        <f>IFERROR(ROUND(AVERAGE(I42,M42,Q42,U42,Y42),1),"Erro")</f>
        <v>1</v>
      </c>
      <c r="AD42" s="14">
        <f t="shared" si="5"/>
        <v>28.9</v>
      </c>
    </row>
    <row r="43" spans="2:30" outlineLevel="2" x14ac:dyDescent="0.25">
      <c r="B43" s="18" t="s">
        <v>14</v>
      </c>
      <c r="C43" s="18" t="s">
        <v>15</v>
      </c>
      <c r="D43" s="18" t="s">
        <v>16</v>
      </c>
      <c r="E43" s="47" t="s">
        <v>160</v>
      </c>
      <c r="F43" s="26" t="s">
        <v>56</v>
      </c>
      <c r="G43" s="23">
        <v>51.05</v>
      </c>
      <c r="H43" s="24" t="s">
        <v>20</v>
      </c>
      <c r="I43" s="24">
        <v>1</v>
      </c>
      <c r="J43" s="38">
        <v>1</v>
      </c>
      <c r="K43" s="23">
        <v>48.16</v>
      </c>
      <c r="L43" s="24" t="s">
        <v>20</v>
      </c>
      <c r="M43" s="24">
        <v>1</v>
      </c>
      <c r="N43" s="38">
        <v>1</v>
      </c>
      <c r="O43" s="23">
        <v>77.19</v>
      </c>
      <c r="P43" s="24" t="s">
        <v>20</v>
      </c>
      <c r="Q43" s="24">
        <v>1</v>
      </c>
      <c r="R43" s="38">
        <v>1</v>
      </c>
      <c r="S43" s="23">
        <v>48.16</v>
      </c>
      <c r="T43" s="24" t="s">
        <v>20</v>
      </c>
      <c r="U43" s="24">
        <v>1</v>
      </c>
      <c r="V43" s="38">
        <v>1</v>
      </c>
      <c r="W43" s="23">
        <v>77.19</v>
      </c>
      <c r="X43" s="24" t="s">
        <v>20</v>
      </c>
      <c r="Y43" s="24">
        <v>1</v>
      </c>
      <c r="Z43" s="38">
        <v>1</v>
      </c>
      <c r="AA43" s="16">
        <f>IFERROR(ROUND(AVERAGE(G43,K43,O43,S43,W43),1),"Erro")</f>
        <v>60.4</v>
      </c>
      <c r="AB43" s="16" t="str">
        <f>H43</f>
        <v>KD</v>
      </c>
      <c r="AC43" s="16">
        <f>IFERROR(ROUND(AVERAGE(I43,M43,Q43,U43,Y43),1),"Erro")</f>
        <v>1</v>
      </c>
      <c r="AD43" s="14">
        <f t="shared" si="5"/>
        <v>60.4</v>
      </c>
    </row>
    <row r="44" spans="2:30" ht="15" customHeight="1" outlineLevel="2" x14ac:dyDescent="0.25">
      <c r="B44" s="18" t="s">
        <v>14</v>
      </c>
      <c r="C44" s="18" t="s">
        <v>15</v>
      </c>
      <c r="D44" s="18" t="s">
        <v>16</v>
      </c>
      <c r="E44" s="47" t="s">
        <v>161</v>
      </c>
      <c r="F44" s="26" t="s">
        <v>57</v>
      </c>
      <c r="G44" s="23">
        <v>34.4</v>
      </c>
      <c r="H44" s="24" t="s">
        <v>20</v>
      </c>
      <c r="I44" s="24">
        <v>1</v>
      </c>
      <c r="J44" s="38">
        <v>1</v>
      </c>
      <c r="K44" s="23">
        <v>33.18</v>
      </c>
      <c r="L44" s="24" t="s">
        <v>20</v>
      </c>
      <c r="M44" s="24">
        <v>1</v>
      </c>
      <c r="N44" s="38">
        <v>1</v>
      </c>
      <c r="O44" s="23">
        <v>36.979999999999997</v>
      </c>
      <c r="P44" s="24" t="s">
        <v>20</v>
      </c>
      <c r="Q44" s="24">
        <v>1</v>
      </c>
      <c r="R44" s="38">
        <v>1</v>
      </c>
      <c r="S44" s="23">
        <v>33.18</v>
      </c>
      <c r="T44" s="24" t="s">
        <v>20</v>
      </c>
      <c r="U44" s="24">
        <v>1</v>
      </c>
      <c r="V44" s="38">
        <v>1</v>
      </c>
      <c r="W44" s="23">
        <v>36.979999999999997</v>
      </c>
      <c r="X44" s="24" t="s">
        <v>20</v>
      </c>
      <c r="Y44" s="24">
        <v>1</v>
      </c>
      <c r="Z44" s="38">
        <v>1</v>
      </c>
      <c r="AA44" s="16">
        <f>IFERROR(ROUND(AVERAGE(G44,K44,O44,S44,W44),1),"Erro")</f>
        <v>34.9</v>
      </c>
      <c r="AB44" s="16" t="str">
        <f>H44</f>
        <v>KD</v>
      </c>
      <c r="AC44" s="16">
        <f>IFERROR(ROUND(AVERAGE(I44,M44,Q44,U44,Y44),1),"Erro")</f>
        <v>1</v>
      </c>
      <c r="AD44" s="14">
        <f t="shared" si="5"/>
        <v>34.9</v>
      </c>
    </row>
    <row r="45" spans="2:30" x14ac:dyDescent="0.25">
      <c r="B45" s="18" t="s">
        <v>14</v>
      </c>
      <c r="C45" s="18" t="s">
        <v>15</v>
      </c>
      <c r="D45" s="18" t="s">
        <v>16</v>
      </c>
      <c r="E45" s="18">
        <v>6</v>
      </c>
      <c r="F45" s="18" t="s">
        <v>58</v>
      </c>
      <c r="G45" s="11">
        <f>IFERROR(G46+G57+G65,"-")</f>
        <v>917.03</v>
      </c>
      <c r="H45" s="10"/>
      <c r="I45" s="10"/>
      <c r="J45" s="34"/>
      <c r="K45" s="11">
        <f>IFERROR(K46+K57+K65,"-")</f>
        <v>914.8</v>
      </c>
      <c r="L45" s="10"/>
      <c r="M45" s="10"/>
      <c r="N45" s="34"/>
      <c r="O45" s="11">
        <f>IFERROR(O46+O57+O65,"-")</f>
        <v>764.58</v>
      </c>
      <c r="P45" s="10"/>
      <c r="Q45" s="10"/>
      <c r="R45" s="34"/>
      <c r="S45" s="11">
        <f>IFERROR(S46+S57+S65,"-")</f>
        <v>914.8</v>
      </c>
      <c r="T45" s="10"/>
      <c r="U45" s="10"/>
      <c r="V45" s="34"/>
      <c r="W45" s="11">
        <f>IFERROR(W46+W57+W65,"-")</f>
        <v>764.58</v>
      </c>
      <c r="X45" s="10"/>
      <c r="Y45" s="10"/>
      <c r="Z45" s="34"/>
      <c r="AA45" s="11">
        <f>IFERROR(AA46+AA57+AA65,"-")</f>
        <v>855.39999999999986</v>
      </c>
      <c r="AB45" s="10"/>
      <c r="AC45" s="10"/>
      <c r="AD45" s="11">
        <f>IFERROR(AD46+AD57+AD65,"-")</f>
        <v>855.39999999999986</v>
      </c>
    </row>
    <row r="46" spans="2:30" outlineLevel="1" x14ac:dyDescent="0.25">
      <c r="B46" s="18" t="s">
        <v>14</v>
      </c>
      <c r="C46" s="18" t="s">
        <v>15</v>
      </c>
      <c r="D46" s="18" t="s">
        <v>16</v>
      </c>
      <c r="E46" s="47" t="s">
        <v>162</v>
      </c>
      <c r="F46" s="21" t="s">
        <v>18</v>
      </c>
      <c r="G46" s="13">
        <f>SUM(G47:G56)</f>
        <v>150.15</v>
      </c>
      <c r="H46" s="12" t="str">
        <f>H47</f>
        <v>KD</v>
      </c>
      <c r="I46" s="12">
        <f>IFERROR(ROUND(AVERAGE(I47:I56),0),"-")</f>
        <v>1</v>
      </c>
      <c r="J46" s="35">
        <f>IFERROR(ROUND(AVERAGE(J47:J56),0),"-")</f>
        <v>1</v>
      </c>
      <c r="K46" s="15">
        <f>SUM(K47:K56)</f>
        <v>162.99</v>
      </c>
      <c r="L46" s="12" t="str">
        <f>L47</f>
        <v>KD</v>
      </c>
      <c r="M46" s="12">
        <f>IFERROR(ROUND(AVERAGE(M47:M56),0),"-")</f>
        <v>1</v>
      </c>
      <c r="N46" s="35">
        <f>IFERROR(ROUND(AVERAGE(N47:N56),0),"-")</f>
        <v>1</v>
      </c>
      <c r="O46" s="15">
        <f>SUM(O47:O56)</f>
        <v>167.67</v>
      </c>
      <c r="P46" s="12" t="str">
        <f>P47</f>
        <v>KD</v>
      </c>
      <c r="Q46" s="12">
        <f>IFERROR(ROUND(AVERAGE(Q47:Q56),0),"-")</f>
        <v>1</v>
      </c>
      <c r="R46" s="35">
        <f>IFERROR(ROUND(AVERAGE(R47:R56),0),"-")</f>
        <v>1</v>
      </c>
      <c r="S46" s="15">
        <f>SUM(S47:S56)</f>
        <v>162.99</v>
      </c>
      <c r="T46" s="12" t="str">
        <f>T47</f>
        <v>KD</v>
      </c>
      <c r="U46" s="12">
        <f>IFERROR(ROUND(AVERAGE(U47:U56),0),"-")</f>
        <v>1</v>
      </c>
      <c r="V46" s="35">
        <f>IFERROR(ROUND(AVERAGE(V47:V56),0),"-")</f>
        <v>1</v>
      </c>
      <c r="W46" s="15">
        <f>SUM(W47:W56)</f>
        <v>167.67</v>
      </c>
      <c r="X46" s="12" t="str">
        <f>X47</f>
        <v>KD</v>
      </c>
      <c r="Y46" s="12">
        <f>IFERROR(ROUND(AVERAGE(Y47:Y56),0),"-")</f>
        <v>1</v>
      </c>
      <c r="Z46" s="35">
        <f>IFERROR(ROUND(AVERAGE(Z47:Z56),0),"-")</f>
        <v>1</v>
      </c>
      <c r="AA46" s="15">
        <f>SUM(AA47:AA56)</f>
        <v>162.4</v>
      </c>
      <c r="AB46" s="12" t="str">
        <f>AB47</f>
        <v>KD</v>
      </c>
      <c r="AC46" s="12">
        <f>IFERROR(ROUND(AVERAGE(AC47:AC56),0),"-")</f>
        <v>1</v>
      </c>
      <c r="AD46" s="15">
        <f>SUM(AD47:AD56)</f>
        <v>162.4</v>
      </c>
    </row>
    <row r="47" spans="2:30" outlineLevel="2" x14ac:dyDescent="0.25">
      <c r="B47" s="18" t="s">
        <v>14</v>
      </c>
      <c r="C47" s="18" t="s">
        <v>15</v>
      </c>
      <c r="D47" s="18" t="s">
        <v>16</v>
      </c>
      <c r="E47" s="47" t="s">
        <v>163</v>
      </c>
      <c r="F47" s="22" t="s">
        <v>19</v>
      </c>
      <c r="G47" s="23">
        <v>12.85</v>
      </c>
      <c r="H47" s="24" t="s">
        <v>20</v>
      </c>
      <c r="I47" s="24">
        <v>1</v>
      </c>
      <c r="J47" s="38">
        <v>1</v>
      </c>
      <c r="K47" s="23">
        <v>13.25</v>
      </c>
      <c r="L47" s="24" t="s">
        <v>20</v>
      </c>
      <c r="M47" s="24">
        <v>1</v>
      </c>
      <c r="N47" s="38">
        <v>1</v>
      </c>
      <c r="O47" s="23">
        <v>12.22</v>
      </c>
      <c r="P47" s="24" t="s">
        <v>20</v>
      </c>
      <c r="Q47" s="24">
        <v>1</v>
      </c>
      <c r="R47" s="38">
        <v>1</v>
      </c>
      <c r="S47" s="23">
        <v>13.25</v>
      </c>
      <c r="T47" s="24" t="s">
        <v>20</v>
      </c>
      <c r="U47" s="24">
        <v>1</v>
      </c>
      <c r="V47" s="38">
        <v>1</v>
      </c>
      <c r="W47" s="23">
        <v>12.22</v>
      </c>
      <c r="X47" s="24" t="s">
        <v>20</v>
      </c>
      <c r="Y47" s="24">
        <v>1</v>
      </c>
      <c r="Z47" s="38">
        <v>1</v>
      </c>
      <c r="AA47" s="16">
        <f>IFERROR(ROUND(AVERAGE(G47,K47,O47,S47,W47),1),"Erro")</f>
        <v>12.8</v>
      </c>
      <c r="AB47" s="16" t="str">
        <f>H47</f>
        <v>KD</v>
      </c>
      <c r="AC47" s="16">
        <f>IFERROR(ROUND(AVERAGE(I47,M47,Q47,U47,Y47),1),"Erro")</f>
        <v>1</v>
      </c>
      <c r="AD47" s="14">
        <f t="shared" ref="AD47:AD55" si="6">IFERROR(ROUND(AA47/AC47,1),"Erro")</f>
        <v>12.8</v>
      </c>
    </row>
    <row r="48" spans="2:30" outlineLevel="2" x14ac:dyDescent="0.25">
      <c r="B48" s="18" t="s">
        <v>14</v>
      </c>
      <c r="C48" s="18" t="s">
        <v>15</v>
      </c>
      <c r="D48" s="18" t="s">
        <v>16</v>
      </c>
      <c r="E48" s="47" t="s">
        <v>164</v>
      </c>
      <c r="F48" s="22" t="s">
        <v>21</v>
      </c>
      <c r="G48" s="23">
        <v>20.309999999999999</v>
      </c>
      <c r="H48" s="24" t="s">
        <v>20</v>
      </c>
      <c r="I48" s="24">
        <v>1</v>
      </c>
      <c r="J48" s="38">
        <v>1</v>
      </c>
      <c r="K48" s="23">
        <v>19.77</v>
      </c>
      <c r="L48" s="24" t="s">
        <v>20</v>
      </c>
      <c r="M48" s="24">
        <v>1</v>
      </c>
      <c r="N48" s="38">
        <v>1</v>
      </c>
      <c r="O48" s="23">
        <v>21.58</v>
      </c>
      <c r="P48" s="24" t="s">
        <v>20</v>
      </c>
      <c r="Q48" s="24">
        <v>1</v>
      </c>
      <c r="R48" s="38">
        <v>1</v>
      </c>
      <c r="S48" s="23">
        <v>19.77</v>
      </c>
      <c r="T48" s="24" t="s">
        <v>20</v>
      </c>
      <c r="U48" s="24">
        <v>1</v>
      </c>
      <c r="V48" s="38">
        <v>1</v>
      </c>
      <c r="W48" s="23">
        <v>21.58</v>
      </c>
      <c r="X48" s="24" t="s">
        <v>20</v>
      </c>
      <c r="Y48" s="24">
        <v>1</v>
      </c>
      <c r="Z48" s="38">
        <v>1</v>
      </c>
      <c r="AA48" s="16">
        <f>IFERROR(ROUND(AVERAGE(G48,K48,O48,S48,W48),1),"Erro")</f>
        <v>20.6</v>
      </c>
      <c r="AB48" s="16" t="str">
        <f>H48</f>
        <v>KD</v>
      </c>
      <c r="AC48" s="16">
        <f>IFERROR(ROUND(AVERAGE(I48,M48,Q48,U48,Y48),1),"Erro")</f>
        <v>1</v>
      </c>
      <c r="AD48" s="14">
        <f t="shared" si="6"/>
        <v>20.6</v>
      </c>
    </row>
    <row r="49" spans="2:30" outlineLevel="2" x14ac:dyDescent="0.25">
      <c r="B49" s="18" t="s">
        <v>14</v>
      </c>
      <c r="C49" s="18" t="s">
        <v>15</v>
      </c>
      <c r="D49" s="18" t="s">
        <v>16</v>
      </c>
      <c r="E49" s="47" t="s">
        <v>165</v>
      </c>
      <c r="F49" s="22" t="s">
        <v>22</v>
      </c>
      <c r="G49" s="23">
        <v>12.85</v>
      </c>
      <c r="H49" s="24" t="s">
        <v>20</v>
      </c>
      <c r="I49" s="24">
        <v>1</v>
      </c>
      <c r="J49" s="38">
        <v>1</v>
      </c>
      <c r="K49" s="23">
        <v>14.2</v>
      </c>
      <c r="L49" s="24" t="s">
        <v>20</v>
      </c>
      <c r="M49" s="24">
        <v>1</v>
      </c>
      <c r="N49" s="38">
        <v>1</v>
      </c>
      <c r="O49" s="23">
        <v>14.25</v>
      </c>
      <c r="P49" s="24" t="s">
        <v>20</v>
      </c>
      <c r="Q49" s="24">
        <v>1</v>
      </c>
      <c r="R49" s="38">
        <v>1</v>
      </c>
      <c r="S49" s="23">
        <v>14.2</v>
      </c>
      <c r="T49" s="24" t="s">
        <v>20</v>
      </c>
      <c r="U49" s="24">
        <v>1</v>
      </c>
      <c r="V49" s="38">
        <v>1</v>
      </c>
      <c r="W49" s="23">
        <v>14.25</v>
      </c>
      <c r="X49" s="24" t="s">
        <v>20</v>
      </c>
      <c r="Y49" s="24">
        <v>1</v>
      </c>
      <c r="Z49" s="38">
        <v>1</v>
      </c>
      <c r="AA49" s="16">
        <f>IFERROR(ROUND(AVERAGE(G49,K49,O49,S49,W49),1),"Erro")</f>
        <v>14</v>
      </c>
      <c r="AB49" s="16" t="str">
        <f>H49</f>
        <v>KD</v>
      </c>
      <c r="AC49" s="16">
        <f>IFERROR(ROUND(AVERAGE(I49,M49,Q49,U49,Y49),1),"Erro")</f>
        <v>1</v>
      </c>
      <c r="AD49" s="14">
        <f t="shared" si="6"/>
        <v>14</v>
      </c>
    </row>
    <row r="50" spans="2:30" outlineLevel="2" x14ac:dyDescent="0.25">
      <c r="B50" s="18" t="s">
        <v>14</v>
      </c>
      <c r="C50" s="18" t="s">
        <v>15</v>
      </c>
      <c r="D50" s="18" t="s">
        <v>16</v>
      </c>
      <c r="E50" s="47" t="s">
        <v>166</v>
      </c>
      <c r="F50" s="22" t="s">
        <v>23</v>
      </c>
      <c r="G50" s="23">
        <v>33.65</v>
      </c>
      <c r="H50" s="24" t="s">
        <v>20</v>
      </c>
      <c r="I50" s="24">
        <v>1</v>
      </c>
      <c r="J50" s="38">
        <v>1</v>
      </c>
      <c r="K50" s="23">
        <v>35.9</v>
      </c>
      <c r="L50" s="24" t="s">
        <v>20</v>
      </c>
      <c r="M50" s="24">
        <v>1</v>
      </c>
      <c r="N50" s="38">
        <v>1</v>
      </c>
      <c r="O50" s="23">
        <v>33.9</v>
      </c>
      <c r="P50" s="24" t="s">
        <v>20</v>
      </c>
      <c r="Q50" s="24">
        <v>1</v>
      </c>
      <c r="R50" s="38">
        <v>1</v>
      </c>
      <c r="S50" s="23">
        <v>35.9</v>
      </c>
      <c r="T50" s="24" t="s">
        <v>20</v>
      </c>
      <c r="U50" s="24">
        <v>1</v>
      </c>
      <c r="V50" s="38">
        <v>1</v>
      </c>
      <c r="W50" s="23">
        <v>33.9</v>
      </c>
      <c r="X50" s="24" t="s">
        <v>20</v>
      </c>
      <c r="Y50" s="24">
        <v>1</v>
      </c>
      <c r="Z50" s="38">
        <v>1</v>
      </c>
      <c r="AA50" s="16">
        <f>IFERROR(ROUND(AVERAGE(G50,K50,O50,S50,W50),1),"Erro")</f>
        <v>34.700000000000003</v>
      </c>
      <c r="AB50" s="16" t="str">
        <f>H50</f>
        <v>KD</v>
      </c>
      <c r="AC50" s="16">
        <f>IFERROR(ROUND(AVERAGE(I50,M50,Q50,U50,Y50),1),"Erro")</f>
        <v>1</v>
      </c>
      <c r="AD50" s="14">
        <f t="shared" si="6"/>
        <v>34.700000000000003</v>
      </c>
    </row>
    <row r="51" spans="2:30" outlineLevel="2" x14ac:dyDescent="0.25">
      <c r="B51" s="18" t="s">
        <v>14</v>
      </c>
      <c r="C51" s="18" t="s">
        <v>15</v>
      </c>
      <c r="D51" s="18" t="s">
        <v>16</v>
      </c>
      <c r="E51" s="47" t="s">
        <v>167</v>
      </c>
      <c r="F51" s="22" t="s">
        <v>24</v>
      </c>
      <c r="G51" s="23">
        <v>4.4400000000000004</v>
      </c>
      <c r="H51" s="24" t="s">
        <v>20</v>
      </c>
      <c r="I51" s="24">
        <v>1</v>
      </c>
      <c r="J51" s="38">
        <v>1</v>
      </c>
      <c r="K51" s="23">
        <v>9.8800000000000008</v>
      </c>
      <c r="L51" s="24" t="s">
        <v>20</v>
      </c>
      <c r="M51" s="24">
        <v>1</v>
      </c>
      <c r="N51" s="38">
        <v>1</v>
      </c>
      <c r="O51" s="23">
        <v>11.36</v>
      </c>
      <c r="P51" s="24" t="s">
        <v>20</v>
      </c>
      <c r="Q51" s="24">
        <v>1</v>
      </c>
      <c r="R51" s="38">
        <v>1</v>
      </c>
      <c r="S51" s="23">
        <v>9.8800000000000008</v>
      </c>
      <c r="T51" s="24" t="s">
        <v>20</v>
      </c>
      <c r="U51" s="24">
        <v>1</v>
      </c>
      <c r="V51" s="38">
        <v>1</v>
      </c>
      <c r="W51" s="23">
        <v>11.36</v>
      </c>
      <c r="X51" s="24" t="s">
        <v>20</v>
      </c>
      <c r="Y51" s="24">
        <v>1</v>
      </c>
      <c r="Z51" s="38">
        <v>1</v>
      </c>
      <c r="AA51" s="16">
        <f>IFERROR(ROUND(AVERAGE(G51,K51,O51,S51,W51),1),"Erro")</f>
        <v>9.4</v>
      </c>
      <c r="AB51" s="16" t="str">
        <f>H51</f>
        <v>KD</v>
      </c>
      <c r="AC51" s="16">
        <f>IFERROR(ROUND(AVERAGE(I51,M51,Q51,U51,Y51),1),"Erro")</f>
        <v>1</v>
      </c>
      <c r="AD51" s="14">
        <f t="shared" si="6"/>
        <v>9.4</v>
      </c>
    </row>
    <row r="52" spans="2:30" outlineLevel="2" x14ac:dyDescent="0.25">
      <c r="B52" s="18" t="s">
        <v>14</v>
      </c>
      <c r="C52" s="18" t="s">
        <v>15</v>
      </c>
      <c r="D52" s="18" t="s">
        <v>16</v>
      </c>
      <c r="E52" s="47" t="s">
        <v>168</v>
      </c>
      <c r="F52" s="22" t="s">
        <v>25</v>
      </c>
      <c r="G52" s="23">
        <v>4.47</v>
      </c>
      <c r="H52" s="24" t="s">
        <v>20</v>
      </c>
      <c r="I52" s="24">
        <v>1</v>
      </c>
      <c r="J52" s="38">
        <v>1</v>
      </c>
      <c r="K52" s="23">
        <v>5.6</v>
      </c>
      <c r="L52" s="24" t="s">
        <v>20</v>
      </c>
      <c r="M52" s="24">
        <v>1</v>
      </c>
      <c r="N52" s="38">
        <v>1</v>
      </c>
      <c r="O52" s="23">
        <v>4.8099999999999996</v>
      </c>
      <c r="P52" s="24" t="s">
        <v>20</v>
      </c>
      <c r="Q52" s="24">
        <v>1</v>
      </c>
      <c r="R52" s="38">
        <v>1</v>
      </c>
      <c r="S52" s="23">
        <v>5.6</v>
      </c>
      <c r="T52" s="24" t="s">
        <v>20</v>
      </c>
      <c r="U52" s="24">
        <v>1</v>
      </c>
      <c r="V52" s="38">
        <v>1</v>
      </c>
      <c r="W52" s="23">
        <v>4.8099999999999996</v>
      </c>
      <c r="X52" s="24" t="s">
        <v>20</v>
      </c>
      <c r="Y52" s="24">
        <v>1</v>
      </c>
      <c r="Z52" s="38">
        <v>1</v>
      </c>
      <c r="AA52" s="16">
        <f>IFERROR(ROUND(AVERAGE(G52,K52,O52,S52,W52),1),"Erro")</f>
        <v>5.0999999999999996</v>
      </c>
      <c r="AB52" s="16" t="str">
        <f>H52</f>
        <v>KD</v>
      </c>
      <c r="AC52" s="16">
        <f>IFERROR(ROUND(AVERAGE(I52,M52,Q52,U52,Y52),1),"Erro")</f>
        <v>1</v>
      </c>
      <c r="AD52" s="14">
        <f t="shared" si="6"/>
        <v>5.0999999999999996</v>
      </c>
    </row>
    <row r="53" spans="2:30" outlineLevel="2" x14ac:dyDescent="0.25">
      <c r="B53" s="18" t="s">
        <v>14</v>
      </c>
      <c r="C53" s="18" t="s">
        <v>15</v>
      </c>
      <c r="D53" s="18" t="s">
        <v>16</v>
      </c>
      <c r="E53" s="47" t="s">
        <v>169</v>
      </c>
      <c r="F53" s="22" t="s">
        <v>26</v>
      </c>
      <c r="G53" s="23">
        <v>7.37</v>
      </c>
      <c r="H53" s="24" t="s">
        <v>20</v>
      </c>
      <c r="I53" s="24">
        <v>1</v>
      </c>
      <c r="J53" s="38">
        <v>1</v>
      </c>
      <c r="K53" s="23">
        <v>7.9</v>
      </c>
      <c r="L53" s="24" t="s">
        <v>20</v>
      </c>
      <c r="M53" s="24">
        <v>1</v>
      </c>
      <c r="N53" s="38">
        <v>1</v>
      </c>
      <c r="O53" s="23">
        <v>6.38</v>
      </c>
      <c r="P53" s="24" t="s">
        <v>20</v>
      </c>
      <c r="Q53" s="24">
        <v>1</v>
      </c>
      <c r="R53" s="38">
        <v>1</v>
      </c>
      <c r="S53" s="23">
        <v>7.9</v>
      </c>
      <c r="T53" s="24" t="s">
        <v>20</v>
      </c>
      <c r="U53" s="24">
        <v>1</v>
      </c>
      <c r="V53" s="38">
        <v>1</v>
      </c>
      <c r="W53" s="23">
        <v>6.38</v>
      </c>
      <c r="X53" s="24" t="s">
        <v>20</v>
      </c>
      <c r="Y53" s="24">
        <v>1</v>
      </c>
      <c r="Z53" s="38">
        <v>1</v>
      </c>
      <c r="AA53" s="16">
        <f>IFERROR(ROUND(AVERAGE(G53,K53,O53,S53,W53),1),"Erro")</f>
        <v>7.2</v>
      </c>
      <c r="AB53" s="16" t="str">
        <f>H53</f>
        <v>KD</v>
      </c>
      <c r="AC53" s="16">
        <f>IFERROR(ROUND(AVERAGE(I53,M53,Q53,U53,Y53),1),"Erro")</f>
        <v>1</v>
      </c>
      <c r="AD53" s="14">
        <f t="shared" si="6"/>
        <v>7.2</v>
      </c>
    </row>
    <row r="54" spans="2:30" outlineLevel="2" x14ac:dyDescent="0.25">
      <c r="B54" s="18" t="s">
        <v>14</v>
      </c>
      <c r="C54" s="18" t="s">
        <v>15</v>
      </c>
      <c r="D54" s="18" t="s">
        <v>16</v>
      </c>
      <c r="E54" s="47" t="s">
        <v>170</v>
      </c>
      <c r="F54" s="22" t="s">
        <v>27</v>
      </c>
      <c r="G54" s="23">
        <v>10.68</v>
      </c>
      <c r="H54" s="24" t="s">
        <v>20</v>
      </c>
      <c r="I54" s="24">
        <v>1</v>
      </c>
      <c r="J54" s="38">
        <v>1</v>
      </c>
      <c r="K54" s="23">
        <v>10.18</v>
      </c>
      <c r="L54" s="24" t="s">
        <v>20</v>
      </c>
      <c r="M54" s="24">
        <v>1</v>
      </c>
      <c r="N54" s="38">
        <v>1</v>
      </c>
      <c r="O54" s="23">
        <v>11.07</v>
      </c>
      <c r="P54" s="24" t="s">
        <v>20</v>
      </c>
      <c r="Q54" s="24">
        <v>1</v>
      </c>
      <c r="R54" s="38">
        <v>1</v>
      </c>
      <c r="S54" s="23">
        <v>10.18</v>
      </c>
      <c r="T54" s="24" t="s">
        <v>20</v>
      </c>
      <c r="U54" s="24">
        <v>1</v>
      </c>
      <c r="V54" s="38">
        <v>1</v>
      </c>
      <c r="W54" s="23">
        <v>11.07</v>
      </c>
      <c r="X54" s="24" t="s">
        <v>20</v>
      </c>
      <c r="Y54" s="24">
        <v>1</v>
      </c>
      <c r="Z54" s="38">
        <v>1</v>
      </c>
      <c r="AA54" s="16">
        <f>IFERROR(ROUND(AVERAGE(G54,K54,O54,S54,W54),1),"Erro")</f>
        <v>10.6</v>
      </c>
      <c r="AB54" s="16" t="str">
        <f>H54</f>
        <v>KD</v>
      </c>
      <c r="AC54" s="16">
        <f>IFERROR(ROUND(AVERAGE(I54,M54,Q54,U54,Y54),1),"Erro")</f>
        <v>1</v>
      </c>
      <c r="AD54" s="14">
        <f t="shared" si="6"/>
        <v>10.6</v>
      </c>
    </row>
    <row r="55" spans="2:30" outlineLevel="2" x14ac:dyDescent="0.25">
      <c r="B55" s="18" t="s">
        <v>14</v>
      </c>
      <c r="C55" s="18" t="s">
        <v>15</v>
      </c>
      <c r="D55" s="18" t="s">
        <v>16</v>
      </c>
      <c r="E55" s="47" t="s">
        <v>171</v>
      </c>
      <c r="F55" s="22" t="s">
        <v>28</v>
      </c>
      <c r="G55" s="23">
        <v>30.09</v>
      </c>
      <c r="H55" s="24" t="s">
        <v>20</v>
      </c>
      <c r="I55" s="24">
        <v>1</v>
      </c>
      <c r="J55" s="38">
        <v>1</v>
      </c>
      <c r="K55" s="23">
        <v>32.15</v>
      </c>
      <c r="L55" s="24" t="s">
        <v>20</v>
      </c>
      <c r="M55" s="24">
        <v>1</v>
      </c>
      <c r="N55" s="38">
        <v>1</v>
      </c>
      <c r="O55" s="23">
        <v>35.4</v>
      </c>
      <c r="P55" s="24" t="s">
        <v>20</v>
      </c>
      <c r="Q55" s="24">
        <v>1</v>
      </c>
      <c r="R55" s="38">
        <v>1</v>
      </c>
      <c r="S55" s="23">
        <v>32.15</v>
      </c>
      <c r="T55" s="24" t="s">
        <v>20</v>
      </c>
      <c r="U55" s="24">
        <v>1</v>
      </c>
      <c r="V55" s="38">
        <v>1</v>
      </c>
      <c r="W55" s="23">
        <v>35.4</v>
      </c>
      <c r="X55" s="24" t="s">
        <v>20</v>
      </c>
      <c r="Y55" s="24">
        <v>1</v>
      </c>
      <c r="Z55" s="38">
        <v>1</v>
      </c>
      <c r="AA55" s="16">
        <f>IFERROR(ROUND(AVERAGE(G55,K55,O55,S55,W55),1),"Erro")</f>
        <v>33</v>
      </c>
      <c r="AB55" s="16" t="str">
        <f>H55</f>
        <v>KD</v>
      </c>
      <c r="AC55" s="16">
        <f>IFERROR(ROUND(AVERAGE(I55,M55,Q55,U55,Y55),1),"Erro")</f>
        <v>1</v>
      </c>
      <c r="AD55" s="14">
        <f t="shared" si="6"/>
        <v>33</v>
      </c>
    </row>
    <row r="56" spans="2:30" outlineLevel="2" x14ac:dyDescent="0.25">
      <c r="B56" s="18" t="s">
        <v>14</v>
      </c>
      <c r="C56" s="18" t="s">
        <v>15</v>
      </c>
      <c r="D56" s="18" t="s">
        <v>16</v>
      </c>
      <c r="E56" s="47" t="s">
        <v>172</v>
      </c>
      <c r="F56" s="22" t="s">
        <v>29</v>
      </c>
      <c r="G56" s="23">
        <v>13.44</v>
      </c>
      <c r="H56" s="24" t="s">
        <v>20</v>
      </c>
      <c r="I56" s="24">
        <v>1</v>
      </c>
      <c r="J56" s="38">
        <v>1</v>
      </c>
      <c r="K56" s="23">
        <v>14.16</v>
      </c>
      <c r="L56" s="24" t="s">
        <v>20</v>
      </c>
      <c r="M56" s="24">
        <v>1</v>
      </c>
      <c r="N56" s="38">
        <v>1</v>
      </c>
      <c r="O56" s="23">
        <v>16.7</v>
      </c>
      <c r="P56" s="24" t="s">
        <v>20</v>
      </c>
      <c r="Q56" s="24">
        <v>1</v>
      </c>
      <c r="R56" s="38">
        <v>1</v>
      </c>
      <c r="S56" s="23">
        <v>14.16</v>
      </c>
      <c r="T56" s="24" t="s">
        <v>20</v>
      </c>
      <c r="U56" s="24">
        <v>1</v>
      </c>
      <c r="V56" s="38">
        <v>1</v>
      </c>
      <c r="W56" s="23">
        <v>16.7</v>
      </c>
      <c r="X56" s="24" t="s">
        <v>20</v>
      </c>
      <c r="Y56" s="24">
        <v>1</v>
      </c>
      <c r="Z56" s="38">
        <v>1</v>
      </c>
      <c r="AA56" s="16">
        <f>IFERROR(ROUND(AVERAGE(G56,K56,O56,S56,W56),1),"Erro")</f>
        <v>15</v>
      </c>
      <c r="AB56" s="16" t="str">
        <f>H56</f>
        <v>KD</v>
      </c>
      <c r="AC56" s="16">
        <f>IFERROR(ROUND(AVERAGE(I56,M56,Q56,U56,Y56),1),"Erro")</f>
        <v>1</v>
      </c>
      <c r="AD56" s="14">
        <f t="shared" ref="AD56" si="7">IFERROR(ROUND(AA56/AC56,1),"Erro")</f>
        <v>15</v>
      </c>
    </row>
    <row r="57" spans="2:30" outlineLevel="1" x14ac:dyDescent="0.25">
      <c r="B57" s="18" t="s">
        <v>14</v>
      </c>
      <c r="C57" s="18" t="s">
        <v>15</v>
      </c>
      <c r="D57" s="18" t="s">
        <v>16</v>
      </c>
      <c r="E57" s="47">
        <v>7</v>
      </c>
      <c r="F57" s="21" t="s">
        <v>43</v>
      </c>
      <c r="G57" s="13">
        <f>SUM(G58:G64)</f>
        <v>611.16</v>
      </c>
      <c r="H57" s="12" t="str">
        <f>H58</f>
        <v>KD</v>
      </c>
      <c r="I57" s="12">
        <f>IFERROR(ROUND(AVERAGE(I58:I64),0),"-")</f>
        <v>1</v>
      </c>
      <c r="J57" s="35">
        <f>IFERROR(ROUND(AVERAGE(J58:J64),0),"-")</f>
        <v>1</v>
      </c>
      <c r="K57" s="13">
        <f>SUM(K58:K64)</f>
        <v>575.87</v>
      </c>
      <c r="L57" s="12" t="str">
        <f>L58</f>
        <v>KD</v>
      </c>
      <c r="M57" s="12">
        <f>IFERROR(ROUND(AVERAGE(M58:M64),0),"-")</f>
        <v>1</v>
      </c>
      <c r="N57" s="35">
        <f>IFERROR(ROUND(AVERAGE(N58:N64),0),"-")</f>
        <v>1</v>
      </c>
      <c r="O57" s="13">
        <f>SUM(O58:O64)</f>
        <v>432.7600000000001</v>
      </c>
      <c r="P57" s="12" t="str">
        <f>P58</f>
        <v>KD</v>
      </c>
      <c r="Q57" s="12">
        <f>IFERROR(ROUND(AVERAGE(Q58:Q64),0),"-")</f>
        <v>1</v>
      </c>
      <c r="R57" s="35">
        <f>IFERROR(ROUND(AVERAGE(R58:R64),0),"-")</f>
        <v>1</v>
      </c>
      <c r="S57" s="13">
        <f>SUM(S58:S64)</f>
        <v>575.87</v>
      </c>
      <c r="T57" s="12" t="str">
        <f>T58</f>
        <v>KD</v>
      </c>
      <c r="U57" s="12">
        <f>IFERROR(ROUND(AVERAGE(U58:U64),0),"-")</f>
        <v>1</v>
      </c>
      <c r="V57" s="35">
        <f>IFERROR(ROUND(AVERAGE(V58:V64),0),"-")</f>
        <v>1</v>
      </c>
      <c r="W57" s="13">
        <f>SUM(W58:W64)</f>
        <v>432.7600000000001</v>
      </c>
      <c r="X57" s="12" t="str">
        <f>X58</f>
        <v>KD</v>
      </c>
      <c r="Y57" s="12">
        <f>IFERROR(ROUND(AVERAGE(Y58:Y64),0),"-")</f>
        <v>1</v>
      </c>
      <c r="Z57" s="35">
        <f>IFERROR(ROUND(AVERAGE(Z58:Z64),0),"-")</f>
        <v>1</v>
      </c>
      <c r="AA57" s="15">
        <f>SUM(AA58:AA64)</f>
        <v>525.79999999999984</v>
      </c>
      <c r="AB57" s="12" t="str">
        <f>AB58</f>
        <v>KD</v>
      </c>
      <c r="AC57" s="12">
        <f>IFERROR(ROUND(AVERAGE(AC58:AC64),0),"-")</f>
        <v>1</v>
      </c>
      <c r="AD57" s="15">
        <f>SUM(AD58:AD64)</f>
        <v>525.79999999999984</v>
      </c>
    </row>
    <row r="58" spans="2:30" outlineLevel="2" x14ac:dyDescent="0.25">
      <c r="B58" s="18" t="s">
        <v>14</v>
      </c>
      <c r="C58" s="18" t="s">
        <v>15</v>
      </c>
      <c r="D58" s="18" t="s">
        <v>16</v>
      </c>
      <c r="E58" s="47" t="s">
        <v>173</v>
      </c>
      <c r="F58" s="27" t="s">
        <v>59</v>
      </c>
      <c r="G58" s="23">
        <v>6.11</v>
      </c>
      <c r="H58" s="24" t="s">
        <v>20</v>
      </c>
      <c r="I58" s="24">
        <v>1</v>
      </c>
      <c r="J58" s="38">
        <v>1</v>
      </c>
      <c r="K58" s="23">
        <v>8.9</v>
      </c>
      <c r="L58" s="24" t="s">
        <v>20</v>
      </c>
      <c r="M58" s="24">
        <v>1</v>
      </c>
      <c r="N58" s="38">
        <v>1</v>
      </c>
      <c r="O58" s="23">
        <v>8.77</v>
      </c>
      <c r="P58" s="24" t="s">
        <v>20</v>
      </c>
      <c r="Q58" s="24">
        <v>1</v>
      </c>
      <c r="R58" s="38">
        <v>1</v>
      </c>
      <c r="S58" s="23">
        <v>8.9</v>
      </c>
      <c r="T58" s="24" t="s">
        <v>20</v>
      </c>
      <c r="U58" s="24">
        <v>1</v>
      </c>
      <c r="V58" s="38">
        <v>1</v>
      </c>
      <c r="W58" s="23">
        <v>8.77</v>
      </c>
      <c r="X58" s="24" t="s">
        <v>20</v>
      </c>
      <c r="Y58" s="24">
        <v>1</v>
      </c>
      <c r="Z58" s="38">
        <v>1</v>
      </c>
      <c r="AA58" s="16">
        <f>IFERROR(ROUND(AVERAGE(G58,K58,O58,S58,W58),1),"Erro")</f>
        <v>8.3000000000000007</v>
      </c>
      <c r="AB58" s="16" t="str">
        <f>H58</f>
        <v>KD</v>
      </c>
      <c r="AC58" s="16">
        <f>IFERROR(ROUND(AVERAGE(I58,M58,Q58,U58,Y58),1),"Erro")</f>
        <v>1</v>
      </c>
      <c r="AD58" s="14">
        <f>IFERROR(ROUND(AA58/AC58,1),"Erro")</f>
        <v>8.3000000000000007</v>
      </c>
    </row>
    <row r="59" spans="2:30" outlineLevel="2" x14ac:dyDescent="0.25">
      <c r="B59" s="18" t="s">
        <v>14</v>
      </c>
      <c r="C59" s="18" t="s">
        <v>15</v>
      </c>
      <c r="D59" s="18" t="s">
        <v>16</v>
      </c>
      <c r="E59" s="47" t="s">
        <v>174</v>
      </c>
      <c r="F59" s="27" t="s">
        <v>45</v>
      </c>
      <c r="G59" s="23">
        <v>45.66</v>
      </c>
      <c r="H59" s="24" t="s">
        <v>20</v>
      </c>
      <c r="I59" s="24">
        <v>1</v>
      </c>
      <c r="J59" s="38">
        <v>1</v>
      </c>
      <c r="K59" s="23">
        <v>55.3</v>
      </c>
      <c r="L59" s="24" t="s">
        <v>20</v>
      </c>
      <c r="M59" s="24"/>
      <c r="N59" s="38">
        <v>1</v>
      </c>
      <c r="O59" s="23">
        <v>38.1</v>
      </c>
      <c r="P59" s="24" t="s">
        <v>20</v>
      </c>
      <c r="Q59" s="24">
        <v>1</v>
      </c>
      <c r="R59" s="38">
        <v>1</v>
      </c>
      <c r="S59" s="23">
        <v>55.3</v>
      </c>
      <c r="T59" s="24" t="s">
        <v>20</v>
      </c>
      <c r="U59" s="24"/>
      <c r="V59" s="38">
        <v>1</v>
      </c>
      <c r="W59" s="23">
        <v>38.1</v>
      </c>
      <c r="X59" s="24" t="s">
        <v>20</v>
      </c>
      <c r="Y59" s="24">
        <v>1</v>
      </c>
      <c r="Z59" s="38">
        <v>1</v>
      </c>
      <c r="AA59" s="16">
        <f>IFERROR(ROUND(AVERAGE(G59,K59,O59,S59,W59),1),"Erro")</f>
        <v>46.5</v>
      </c>
      <c r="AB59" s="16" t="str">
        <f>H59</f>
        <v>KD</v>
      </c>
      <c r="AC59" s="16">
        <f>IFERROR(ROUND(AVERAGE(I59,M59,Q59,U59,Y59),1),"Erro")</f>
        <v>1</v>
      </c>
      <c r="AD59" s="14">
        <f t="shared" ref="AD59:AD64" si="8">IFERROR(ROUND(AA59/AC59,1),"Erro")</f>
        <v>46.5</v>
      </c>
    </row>
    <row r="60" spans="2:30" outlineLevel="2" x14ac:dyDescent="0.25">
      <c r="B60" s="18" t="s">
        <v>14</v>
      </c>
      <c r="C60" s="18" t="s">
        <v>15</v>
      </c>
      <c r="D60" s="18" t="s">
        <v>16</v>
      </c>
      <c r="E60" s="47" t="s">
        <v>175</v>
      </c>
      <c r="F60" s="27" t="s">
        <v>60</v>
      </c>
      <c r="G60" s="23">
        <v>16.09</v>
      </c>
      <c r="H60" s="24" t="s">
        <v>20</v>
      </c>
      <c r="I60" s="24">
        <v>1</v>
      </c>
      <c r="J60" s="38">
        <v>1</v>
      </c>
      <c r="K60" s="23">
        <v>22.6</v>
      </c>
      <c r="L60" s="24" t="s">
        <v>20</v>
      </c>
      <c r="M60" s="24"/>
      <c r="N60" s="38">
        <v>1</v>
      </c>
      <c r="O60" s="23">
        <v>18.239999999999998</v>
      </c>
      <c r="P60" s="24" t="s">
        <v>20</v>
      </c>
      <c r="Q60" s="24">
        <v>1</v>
      </c>
      <c r="R60" s="38">
        <v>1</v>
      </c>
      <c r="S60" s="23">
        <v>22.6</v>
      </c>
      <c r="T60" s="24" t="s">
        <v>20</v>
      </c>
      <c r="U60" s="24"/>
      <c r="V60" s="38">
        <v>1</v>
      </c>
      <c r="W60" s="23">
        <v>18.239999999999998</v>
      </c>
      <c r="X60" s="24" t="s">
        <v>20</v>
      </c>
      <c r="Y60" s="24">
        <v>1</v>
      </c>
      <c r="Z60" s="38">
        <v>1</v>
      </c>
      <c r="AA60" s="16">
        <f>IFERROR(ROUND(AVERAGE(G60,K60,O60,S60,W60),1),"Erro")</f>
        <v>19.600000000000001</v>
      </c>
      <c r="AB60" s="16" t="str">
        <f>H60</f>
        <v>KD</v>
      </c>
      <c r="AC60" s="16">
        <f>IFERROR(ROUND(AVERAGE(I60,M60,Q60,U60,Y60),1),"Erro")</f>
        <v>1</v>
      </c>
      <c r="AD60" s="14">
        <f t="shared" si="8"/>
        <v>19.600000000000001</v>
      </c>
    </row>
    <row r="61" spans="2:30" outlineLevel="2" x14ac:dyDescent="0.25">
      <c r="B61" s="18" t="s">
        <v>14</v>
      </c>
      <c r="C61" s="18" t="s">
        <v>15</v>
      </c>
      <c r="D61" s="18" t="s">
        <v>16</v>
      </c>
      <c r="E61" s="47" t="s">
        <v>176</v>
      </c>
      <c r="F61" s="27" t="s">
        <v>61</v>
      </c>
      <c r="G61" s="23">
        <v>498</v>
      </c>
      <c r="H61" s="24" t="s">
        <v>20</v>
      </c>
      <c r="I61" s="24">
        <v>1</v>
      </c>
      <c r="J61" s="38">
        <v>1</v>
      </c>
      <c r="K61" s="23">
        <v>442.08</v>
      </c>
      <c r="L61" s="24" t="s">
        <v>20</v>
      </c>
      <c r="M61" s="24"/>
      <c r="N61" s="38">
        <v>1</v>
      </c>
      <c r="O61" s="23">
        <v>336.1</v>
      </c>
      <c r="P61" s="24" t="s">
        <v>20</v>
      </c>
      <c r="Q61" s="24">
        <v>1</v>
      </c>
      <c r="R61" s="38">
        <v>1</v>
      </c>
      <c r="S61" s="23">
        <v>442.08</v>
      </c>
      <c r="T61" s="24" t="s">
        <v>20</v>
      </c>
      <c r="U61" s="24"/>
      <c r="V61" s="38">
        <v>1</v>
      </c>
      <c r="W61" s="23">
        <v>336.1</v>
      </c>
      <c r="X61" s="24" t="s">
        <v>20</v>
      </c>
      <c r="Y61" s="24">
        <v>1</v>
      </c>
      <c r="Z61" s="38">
        <v>1</v>
      </c>
      <c r="AA61" s="16">
        <f>IFERROR(ROUND(AVERAGE(G61,K61,O61,S61,W61),1),"Erro")</f>
        <v>410.9</v>
      </c>
      <c r="AB61" s="16" t="str">
        <f>H61</f>
        <v>KD</v>
      </c>
      <c r="AC61" s="16">
        <f>IFERROR(ROUND(AVERAGE(I61,M61,Q61,U61,Y61),1),"Erro")</f>
        <v>1</v>
      </c>
      <c r="AD61" s="14">
        <f t="shared" si="8"/>
        <v>410.9</v>
      </c>
    </row>
    <row r="62" spans="2:30" outlineLevel="2" x14ac:dyDescent="0.25">
      <c r="B62" s="18" t="s">
        <v>14</v>
      </c>
      <c r="C62" s="18" t="s">
        <v>15</v>
      </c>
      <c r="D62" s="18" t="s">
        <v>16</v>
      </c>
      <c r="E62" s="47" t="s">
        <v>177</v>
      </c>
      <c r="F62" s="27" t="s">
        <v>48</v>
      </c>
      <c r="G62" s="23">
        <v>37.04</v>
      </c>
      <c r="H62" s="24" t="s">
        <v>20</v>
      </c>
      <c r="I62" s="24">
        <v>1</v>
      </c>
      <c r="J62" s="38">
        <v>1</v>
      </c>
      <c r="K62" s="23">
        <v>38.81</v>
      </c>
      <c r="L62" s="24" t="s">
        <v>20</v>
      </c>
      <c r="M62" s="24"/>
      <c r="N62" s="38">
        <v>1</v>
      </c>
      <c r="O62" s="23">
        <v>22.16</v>
      </c>
      <c r="P62" s="24" t="s">
        <v>20</v>
      </c>
      <c r="Q62" s="24">
        <v>1</v>
      </c>
      <c r="R62" s="38">
        <v>1</v>
      </c>
      <c r="S62" s="23">
        <v>38.81</v>
      </c>
      <c r="T62" s="24" t="s">
        <v>20</v>
      </c>
      <c r="U62" s="24"/>
      <c r="V62" s="38">
        <v>1</v>
      </c>
      <c r="W62" s="23">
        <v>22.16</v>
      </c>
      <c r="X62" s="24" t="s">
        <v>20</v>
      </c>
      <c r="Y62" s="24">
        <v>1</v>
      </c>
      <c r="Z62" s="38">
        <v>1</v>
      </c>
      <c r="AA62" s="16">
        <f>IFERROR(ROUND(AVERAGE(G62,K62,O62,S62,W62),1),"Erro")</f>
        <v>31.8</v>
      </c>
      <c r="AB62" s="16" t="str">
        <f>H62</f>
        <v>KD</v>
      </c>
      <c r="AC62" s="16">
        <f>IFERROR(ROUND(AVERAGE(I62,M62,Q62,U62,Y62),1),"Erro")</f>
        <v>1</v>
      </c>
      <c r="AD62" s="14">
        <f t="shared" si="8"/>
        <v>31.8</v>
      </c>
    </row>
    <row r="63" spans="2:30" outlineLevel="2" x14ac:dyDescent="0.25">
      <c r="B63" s="18" t="s">
        <v>14</v>
      </c>
      <c r="C63" s="18" t="s">
        <v>15</v>
      </c>
      <c r="D63" s="18" t="s">
        <v>16</v>
      </c>
      <c r="E63" s="47" t="s">
        <v>178</v>
      </c>
      <c r="F63" s="27" t="s">
        <v>49</v>
      </c>
      <c r="G63" s="23">
        <v>5.01</v>
      </c>
      <c r="H63" s="24" t="s">
        <v>20</v>
      </c>
      <c r="I63" s="24">
        <v>1</v>
      </c>
      <c r="J63" s="38">
        <v>1</v>
      </c>
      <c r="K63" s="23">
        <v>3.56</v>
      </c>
      <c r="L63" s="24" t="s">
        <v>20</v>
      </c>
      <c r="M63" s="24"/>
      <c r="N63" s="38">
        <v>1</v>
      </c>
      <c r="O63" s="23">
        <v>5.91</v>
      </c>
      <c r="P63" s="24" t="s">
        <v>20</v>
      </c>
      <c r="Q63" s="24">
        <v>1</v>
      </c>
      <c r="R63" s="38">
        <v>1</v>
      </c>
      <c r="S63" s="23">
        <v>3.56</v>
      </c>
      <c r="T63" s="24" t="s">
        <v>20</v>
      </c>
      <c r="U63" s="24"/>
      <c r="V63" s="38">
        <v>1</v>
      </c>
      <c r="W63" s="23">
        <v>5.91</v>
      </c>
      <c r="X63" s="24" t="s">
        <v>20</v>
      </c>
      <c r="Y63" s="24">
        <v>1</v>
      </c>
      <c r="Z63" s="38">
        <v>1</v>
      </c>
      <c r="AA63" s="16">
        <f>IFERROR(ROUND(AVERAGE(G63,K63,O63,S63,W63),1),"Erro")</f>
        <v>4.8</v>
      </c>
      <c r="AB63" s="16" t="str">
        <f>H63</f>
        <v>KD</v>
      </c>
      <c r="AC63" s="16">
        <f>IFERROR(ROUND(AVERAGE(I63,M63,Q63,U63,Y63),1),"Erro")</f>
        <v>1</v>
      </c>
      <c r="AD63" s="14">
        <f t="shared" si="8"/>
        <v>4.8</v>
      </c>
    </row>
    <row r="64" spans="2:30" outlineLevel="2" x14ac:dyDescent="0.25">
      <c r="B64" s="18" t="s">
        <v>14</v>
      </c>
      <c r="C64" s="18" t="s">
        <v>15</v>
      </c>
      <c r="D64" s="18" t="s">
        <v>16</v>
      </c>
      <c r="E64" s="47" t="s">
        <v>179</v>
      </c>
      <c r="F64" s="27" t="s">
        <v>50</v>
      </c>
      <c r="G64" s="23">
        <v>3.25</v>
      </c>
      <c r="H64" s="24" t="s">
        <v>20</v>
      </c>
      <c r="I64" s="24">
        <v>1</v>
      </c>
      <c r="J64" s="38">
        <v>1</v>
      </c>
      <c r="K64" s="23">
        <v>4.62</v>
      </c>
      <c r="L64" s="24" t="s">
        <v>20</v>
      </c>
      <c r="M64" s="24"/>
      <c r="N64" s="38">
        <v>1</v>
      </c>
      <c r="O64" s="23">
        <v>3.48</v>
      </c>
      <c r="P64" s="24" t="s">
        <v>20</v>
      </c>
      <c r="Q64" s="24">
        <v>1</v>
      </c>
      <c r="R64" s="38">
        <v>1</v>
      </c>
      <c r="S64" s="23">
        <v>4.62</v>
      </c>
      <c r="T64" s="24" t="s">
        <v>20</v>
      </c>
      <c r="U64" s="24"/>
      <c r="V64" s="38">
        <v>1</v>
      </c>
      <c r="W64" s="23">
        <v>3.48</v>
      </c>
      <c r="X64" s="24" t="s">
        <v>20</v>
      </c>
      <c r="Y64" s="24">
        <v>1</v>
      </c>
      <c r="Z64" s="38">
        <v>1</v>
      </c>
      <c r="AA64" s="16">
        <f>IFERROR(ROUND(AVERAGE(G64,K64,O64,S64,W64),1),"Erro")</f>
        <v>3.9</v>
      </c>
      <c r="AB64" s="16" t="str">
        <f>H64</f>
        <v>KD</v>
      </c>
      <c r="AC64" s="16">
        <f>IFERROR(ROUND(AVERAGE(I64,M64,Q64,U64,Y64),1),"Erro")</f>
        <v>1</v>
      </c>
      <c r="AD64" s="14">
        <f t="shared" si="8"/>
        <v>3.9</v>
      </c>
    </row>
    <row r="65" spans="2:30" outlineLevel="1" x14ac:dyDescent="0.25">
      <c r="B65" s="18" t="s">
        <v>14</v>
      </c>
      <c r="C65" s="18" t="s">
        <v>15</v>
      </c>
      <c r="D65" s="18" t="s">
        <v>16</v>
      </c>
      <c r="E65" s="47">
        <v>8</v>
      </c>
      <c r="F65" s="21" t="s">
        <v>62</v>
      </c>
      <c r="G65" s="13">
        <f>SUM(G66:G69)</f>
        <v>155.72</v>
      </c>
      <c r="H65" s="12" t="str">
        <f>H66</f>
        <v>KD</v>
      </c>
      <c r="I65" s="12">
        <f>IFERROR(ROUND(AVERAGE(I66:I69),0),"-")</f>
        <v>1</v>
      </c>
      <c r="J65" s="35">
        <f>IFERROR(ROUND(AVERAGE(J66:J69),0),"-")</f>
        <v>1</v>
      </c>
      <c r="K65" s="13">
        <f>SUM(K66:K69)</f>
        <v>175.94</v>
      </c>
      <c r="L65" s="12" t="str">
        <f>L66</f>
        <v>KD</v>
      </c>
      <c r="M65" s="12">
        <f>IFERROR(ROUND(AVERAGE(M66:M69),0),"-")</f>
        <v>1</v>
      </c>
      <c r="N65" s="35">
        <f>IFERROR(ROUND(AVERAGE(N66:N69),0),"-")</f>
        <v>1</v>
      </c>
      <c r="O65" s="13">
        <f>SUM(O66:O69)</f>
        <v>164.15</v>
      </c>
      <c r="P65" s="12" t="str">
        <f>P66</f>
        <v>KD</v>
      </c>
      <c r="Q65" s="12">
        <f>IFERROR(ROUND(AVERAGE(Q66:Q69),0),"-")</f>
        <v>1</v>
      </c>
      <c r="R65" s="35">
        <f>IFERROR(ROUND(AVERAGE(R66:R69),0),"-")</f>
        <v>1</v>
      </c>
      <c r="S65" s="13">
        <f>SUM(S66:S69)</f>
        <v>175.94</v>
      </c>
      <c r="T65" s="12" t="str">
        <f>T66</f>
        <v>KD</v>
      </c>
      <c r="U65" s="12">
        <f>IFERROR(ROUND(AVERAGE(U66:U69),0),"-")</f>
        <v>1</v>
      </c>
      <c r="V65" s="35">
        <f>IFERROR(ROUND(AVERAGE(V66:V69),0),"-")</f>
        <v>1</v>
      </c>
      <c r="W65" s="13">
        <f>SUM(W66:W69)</f>
        <v>164.15</v>
      </c>
      <c r="X65" s="12" t="str">
        <f>X66</f>
        <v>KD</v>
      </c>
      <c r="Y65" s="12">
        <f>IFERROR(ROUND(AVERAGE(Y66:Y69),0),"-")</f>
        <v>1</v>
      </c>
      <c r="Z65" s="35">
        <f>IFERROR(ROUND(AVERAGE(Z66:Z69),0),"-")</f>
        <v>1</v>
      </c>
      <c r="AA65" s="15">
        <f>SUM(AA66:AA69)</f>
        <v>167.2</v>
      </c>
      <c r="AB65" s="12" t="str">
        <f>AB66</f>
        <v>KD</v>
      </c>
      <c r="AC65" s="12">
        <f>IFERROR(ROUND(AVERAGE(AC66:AC69),0),"-")</f>
        <v>1</v>
      </c>
      <c r="AD65" s="15">
        <f>SUM(AD66:AD69)</f>
        <v>167.2</v>
      </c>
    </row>
    <row r="66" spans="2:30" outlineLevel="2" x14ac:dyDescent="0.25">
      <c r="B66" s="18" t="s">
        <v>14</v>
      </c>
      <c r="C66" s="18" t="s">
        <v>15</v>
      </c>
      <c r="D66" s="18" t="s">
        <v>16</v>
      </c>
      <c r="E66" s="47" t="s">
        <v>180</v>
      </c>
      <c r="F66" s="27" t="s">
        <v>63</v>
      </c>
      <c r="G66" s="23">
        <v>15.1</v>
      </c>
      <c r="H66" s="24" t="s">
        <v>20</v>
      </c>
      <c r="I66" s="24">
        <v>1</v>
      </c>
      <c r="J66" s="38">
        <v>1</v>
      </c>
      <c r="K66" s="23">
        <v>16.52</v>
      </c>
      <c r="L66" s="24" t="s">
        <v>20</v>
      </c>
      <c r="M66" s="24"/>
      <c r="N66" s="38">
        <v>1</v>
      </c>
      <c r="O66" s="23">
        <v>14.68</v>
      </c>
      <c r="P66" s="24" t="s">
        <v>20</v>
      </c>
      <c r="Q66" s="24">
        <v>1</v>
      </c>
      <c r="R66" s="38">
        <v>1</v>
      </c>
      <c r="S66" s="23">
        <v>16.52</v>
      </c>
      <c r="T66" s="24" t="s">
        <v>20</v>
      </c>
      <c r="U66" s="24"/>
      <c r="V66" s="38">
        <v>1</v>
      </c>
      <c r="W66" s="23">
        <v>14.68</v>
      </c>
      <c r="X66" s="24" t="s">
        <v>20</v>
      </c>
      <c r="Y66" s="24">
        <v>1</v>
      </c>
      <c r="Z66" s="38">
        <v>1</v>
      </c>
      <c r="AA66" s="16">
        <f>IFERROR(ROUND(AVERAGE(G66,K66,O66,S66,W66),1),"Erro")</f>
        <v>15.5</v>
      </c>
      <c r="AB66" s="16" t="str">
        <f>H66</f>
        <v>KD</v>
      </c>
      <c r="AC66" s="16">
        <f>IFERROR(ROUND(AVERAGE(I66,M66,Q66,U66,Y66),1),"Erro")</f>
        <v>1</v>
      </c>
      <c r="AD66" s="14">
        <f>IFERROR(ROUND(AA66/AC66,1),"Erro")</f>
        <v>15.5</v>
      </c>
    </row>
    <row r="67" spans="2:30" outlineLevel="2" x14ac:dyDescent="0.25">
      <c r="B67" s="18" t="s">
        <v>14</v>
      </c>
      <c r="C67" s="18" t="s">
        <v>15</v>
      </c>
      <c r="D67" s="18" t="s">
        <v>16</v>
      </c>
      <c r="E67" s="47" t="s">
        <v>181</v>
      </c>
      <c r="F67" s="27" t="s">
        <v>64</v>
      </c>
      <c r="G67" s="23">
        <v>9.3699999999999992</v>
      </c>
      <c r="H67" s="24" t="s">
        <v>20</v>
      </c>
      <c r="I67" s="24">
        <v>1</v>
      </c>
      <c r="J67" s="38">
        <v>1</v>
      </c>
      <c r="K67" s="23">
        <v>15.41</v>
      </c>
      <c r="L67" s="24" t="s">
        <v>20</v>
      </c>
      <c r="M67" s="24">
        <v>1</v>
      </c>
      <c r="N67" s="38">
        <v>1</v>
      </c>
      <c r="O67" s="23">
        <v>13.22</v>
      </c>
      <c r="P67" s="24" t="s">
        <v>20</v>
      </c>
      <c r="Q67" s="24">
        <v>1</v>
      </c>
      <c r="R67" s="38">
        <v>1</v>
      </c>
      <c r="S67" s="23">
        <v>15.41</v>
      </c>
      <c r="T67" s="24" t="s">
        <v>20</v>
      </c>
      <c r="U67" s="24">
        <v>1</v>
      </c>
      <c r="V67" s="38">
        <v>1</v>
      </c>
      <c r="W67" s="23">
        <v>13.22</v>
      </c>
      <c r="X67" s="24" t="s">
        <v>20</v>
      </c>
      <c r="Y67" s="24">
        <v>1</v>
      </c>
      <c r="Z67" s="38">
        <v>1</v>
      </c>
      <c r="AA67" s="16">
        <f>IFERROR(ROUND(AVERAGE(G67,K67,O67,S67,W67),1),"Erro")</f>
        <v>13.3</v>
      </c>
      <c r="AB67" s="16" t="str">
        <f>H67</f>
        <v>KD</v>
      </c>
      <c r="AC67" s="16">
        <f>IFERROR(ROUND(AVERAGE(I67,M67,Q67,U67,Y67),1),"Erro")</f>
        <v>1</v>
      </c>
      <c r="AD67" s="14">
        <f t="shared" ref="AD67:AD69" si="9">IFERROR(ROUND(AA67/AC67,1),"Erro")</f>
        <v>13.3</v>
      </c>
    </row>
    <row r="68" spans="2:30" outlineLevel="2" x14ac:dyDescent="0.25">
      <c r="B68" s="18" t="s">
        <v>14</v>
      </c>
      <c r="C68" s="18" t="s">
        <v>15</v>
      </c>
      <c r="D68" s="18" t="s">
        <v>16</v>
      </c>
      <c r="E68" s="47" t="s">
        <v>182</v>
      </c>
      <c r="F68" s="27" t="s">
        <v>65</v>
      </c>
      <c r="G68" s="23">
        <v>88.9</v>
      </c>
      <c r="H68" s="24" t="s">
        <v>20</v>
      </c>
      <c r="I68" s="24">
        <v>1</v>
      </c>
      <c r="J68" s="38">
        <v>1</v>
      </c>
      <c r="K68" s="23">
        <v>95.31</v>
      </c>
      <c r="L68" s="24" t="s">
        <v>20</v>
      </c>
      <c r="M68" s="24"/>
      <c r="N68" s="38">
        <v>1</v>
      </c>
      <c r="O68" s="23">
        <v>71.150000000000006</v>
      </c>
      <c r="P68" s="24" t="s">
        <v>20</v>
      </c>
      <c r="Q68" s="24">
        <v>1</v>
      </c>
      <c r="R68" s="38">
        <v>1</v>
      </c>
      <c r="S68" s="23">
        <v>95.31</v>
      </c>
      <c r="T68" s="24" t="s">
        <v>20</v>
      </c>
      <c r="U68" s="24"/>
      <c r="V68" s="38">
        <v>1</v>
      </c>
      <c r="W68" s="23">
        <v>71.150000000000006</v>
      </c>
      <c r="X68" s="24" t="s">
        <v>20</v>
      </c>
      <c r="Y68" s="24">
        <v>1</v>
      </c>
      <c r="Z68" s="38">
        <v>1</v>
      </c>
      <c r="AA68" s="16">
        <f>IFERROR(ROUND(AVERAGE(G68,K68,O68,S68,W68),1),"Erro")</f>
        <v>84.4</v>
      </c>
      <c r="AB68" s="16" t="str">
        <f>H68</f>
        <v>KD</v>
      </c>
      <c r="AC68" s="16">
        <f>IFERROR(ROUND(AVERAGE(I68,M68,Q68,U68,Y68),1),"Erro")</f>
        <v>1</v>
      </c>
      <c r="AD68" s="14">
        <f t="shared" si="9"/>
        <v>84.4</v>
      </c>
    </row>
    <row r="69" spans="2:30" outlineLevel="2" x14ac:dyDescent="0.25">
      <c r="B69" s="18" t="s">
        <v>14</v>
      </c>
      <c r="C69" s="18" t="s">
        <v>15</v>
      </c>
      <c r="D69" s="18" t="s">
        <v>16</v>
      </c>
      <c r="E69" s="47" t="s">
        <v>183</v>
      </c>
      <c r="F69" s="27" t="s">
        <v>66</v>
      </c>
      <c r="G69" s="23">
        <v>42.35</v>
      </c>
      <c r="H69" s="24" t="s">
        <v>20</v>
      </c>
      <c r="I69" s="24">
        <v>1</v>
      </c>
      <c r="J69" s="38">
        <v>1</v>
      </c>
      <c r="K69" s="23">
        <v>48.7</v>
      </c>
      <c r="L69" s="24" t="s">
        <v>20</v>
      </c>
      <c r="M69" s="24"/>
      <c r="N69" s="38">
        <v>1</v>
      </c>
      <c r="O69" s="23">
        <v>65.099999999999994</v>
      </c>
      <c r="P69" s="24" t="s">
        <v>20</v>
      </c>
      <c r="Q69" s="24">
        <v>1</v>
      </c>
      <c r="R69" s="38">
        <v>1</v>
      </c>
      <c r="S69" s="23">
        <v>48.7</v>
      </c>
      <c r="T69" s="24" t="s">
        <v>20</v>
      </c>
      <c r="U69" s="24"/>
      <c r="V69" s="38">
        <v>1</v>
      </c>
      <c r="W69" s="23">
        <v>65.099999999999994</v>
      </c>
      <c r="X69" s="24" t="s">
        <v>20</v>
      </c>
      <c r="Y69" s="24">
        <v>1</v>
      </c>
      <c r="Z69" s="38">
        <v>1</v>
      </c>
      <c r="AA69" s="16">
        <f>IFERROR(ROUND(AVERAGE(G69,K69,O69,S69,W69),1),"Erro")</f>
        <v>54</v>
      </c>
      <c r="AB69" s="16" t="str">
        <f>H69</f>
        <v>KD</v>
      </c>
      <c r="AC69" s="16">
        <f>IFERROR(ROUND(AVERAGE(I69,M69,Q69,U69,Y69),1),"Erro")</f>
        <v>1</v>
      </c>
      <c r="AD69" s="14">
        <f t="shared" si="9"/>
        <v>54</v>
      </c>
    </row>
    <row r="70" spans="2:30" outlineLevel="1" x14ac:dyDescent="0.25">
      <c r="B70" s="18" t="s">
        <v>14</v>
      </c>
      <c r="C70" s="18" t="s">
        <v>15</v>
      </c>
      <c r="D70" s="18" t="s">
        <v>16</v>
      </c>
      <c r="E70" s="47">
        <v>9</v>
      </c>
      <c r="F70" s="21" t="s">
        <v>51</v>
      </c>
      <c r="G70" s="15">
        <f>SUM(G71:G76)</f>
        <v>212.39000000000001</v>
      </c>
      <c r="H70" s="12" t="str">
        <f>H71</f>
        <v>KD</v>
      </c>
      <c r="I70" s="12">
        <f>IFERROR(ROUND(AVERAGE(I71:I76),0),"-")</f>
        <v>1</v>
      </c>
      <c r="J70" s="35">
        <f>IFERROR(ROUND(AVERAGE(J71:J76),0),"-")</f>
        <v>1</v>
      </c>
      <c r="K70" s="15">
        <f>SUM(K71:K76)</f>
        <v>220.59</v>
      </c>
      <c r="L70" s="12" t="str">
        <f>L71</f>
        <v>KD</v>
      </c>
      <c r="M70" s="12">
        <f>IFERROR(ROUND(AVERAGE(M71:M76),0),"-")</f>
        <v>1</v>
      </c>
      <c r="N70" s="35">
        <f>IFERROR(ROUND(AVERAGE(N71:N76),0),"-")</f>
        <v>1</v>
      </c>
      <c r="O70" s="15">
        <f>SUM(O71:O76)</f>
        <v>266.09000000000003</v>
      </c>
      <c r="P70" s="12" t="str">
        <f>P71</f>
        <v>KD</v>
      </c>
      <c r="Q70" s="12">
        <f>IFERROR(ROUND(AVERAGE(Q71:Q76),0),"-")</f>
        <v>1</v>
      </c>
      <c r="R70" s="35">
        <f>IFERROR(ROUND(AVERAGE(R71:R76),0),"-")</f>
        <v>1</v>
      </c>
      <c r="S70" s="15">
        <f>SUM(S71:S76)</f>
        <v>220.59</v>
      </c>
      <c r="T70" s="12" t="str">
        <f>T71</f>
        <v>KD</v>
      </c>
      <c r="U70" s="12">
        <f>IFERROR(ROUND(AVERAGE(U71:U76),0),"-")</f>
        <v>1</v>
      </c>
      <c r="V70" s="35">
        <f>IFERROR(ROUND(AVERAGE(V71:V76),0),"-")</f>
        <v>1</v>
      </c>
      <c r="W70" s="15">
        <f>SUM(W71:W76)</f>
        <v>266.09000000000003</v>
      </c>
      <c r="X70" s="12" t="str">
        <f>X71</f>
        <v>KD</v>
      </c>
      <c r="Y70" s="12">
        <f>IFERROR(ROUND(AVERAGE(Y71:Y76),0),"-")</f>
        <v>1</v>
      </c>
      <c r="Z70" s="35">
        <f>IFERROR(ROUND(AVERAGE(Z71:Z76),0),"-")</f>
        <v>1</v>
      </c>
      <c r="AA70" s="15">
        <f>SUM(AA71:AA76)</f>
        <v>237</v>
      </c>
      <c r="AB70" s="12" t="str">
        <f>AB71</f>
        <v>KD</v>
      </c>
      <c r="AC70" s="12">
        <f>IFERROR(ROUND(AVERAGE(AC71:AC76),0),"-")</f>
        <v>1</v>
      </c>
      <c r="AD70" s="15">
        <f>SUM(AD71:AD76)</f>
        <v>237</v>
      </c>
    </row>
    <row r="71" spans="2:30" outlineLevel="2" x14ac:dyDescent="0.25">
      <c r="B71" s="18" t="s">
        <v>14</v>
      </c>
      <c r="C71" s="18" t="s">
        <v>15</v>
      </c>
      <c r="D71" s="18" t="s">
        <v>16</v>
      </c>
      <c r="E71" s="47" t="s">
        <v>184</v>
      </c>
      <c r="F71" s="27" t="s">
        <v>67</v>
      </c>
      <c r="G71" s="23">
        <v>25.1</v>
      </c>
      <c r="H71" s="24" t="s">
        <v>20</v>
      </c>
      <c r="I71" s="24">
        <v>1</v>
      </c>
      <c r="J71" s="38">
        <v>1</v>
      </c>
      <c r="K71" s="23">
        <v>22.47</v>
      </c>
      <c r="L71" s="24" t="s">
        <v>20</v>
      </c>
      <c r="M71" s="24">
        <v>1</v>
      </c>
      <c r="N71" s="38">
        <v>1</v>
      </c>
      <c r="O71" s="23">
        <v>30.09</v>
      </c>
      <c r="P71" s="24" t="s">
        <v>20</v>
      </c>
      <c r="Q71" s="24">
        <v>1</v>
      </c>
      <c r="R71" s="38">
        <v>1</v>
      </c>
      <c r="S71" s="23">
        <v>22.47</v>
      </c>
      <c r="T71" s="24" t="s">
        <v>20</v>
      </c>
      <c r="U71" s="24">
        <v>1</v>
      </c>
      <c r="V71" s="38">
        <v>1</v>
      </c>
      <c r="W71" s="23">
        <v>30.09</v>
      </c>
      <c r="X71" s="24" t="s">
        <v>20</v>
      </c>
      <c r="Y71" s="24">
        <v>1</v>
      </c>
      <c r="Z71" s="38">
        <v>1</v>
      </c>
      <c r="AA71" s="16">
        <f>IFERROR(ROUND(AVERAGE(G71,K71,O71,S71,W71),1),"Erro")</f>
        <v>26</v>
      </c>
      <c r="AB71" s="16" t="str">
        <f>H71</f>
        <v>KD</v>
      </c>
      <c r="AC71" s="16">
        <f>IFERROR(ROUND(AVERAGE(I71,M71,Q71,U71,Y71),1),"Erro")</f>
        <v>1</v>
      </c>
      <c r="AD71" s="14">
        <f>IFERROR(ROUND(AA71/AC71,1),"Erro")</f>
        <v>26</v>
      </c>
    </row>
    <row r="72" spans="2:30" outlineLevel="2" x14ac:dyDescent="0.25">
      <c r="B72" s="18" t="s">
        <v>14</v>
      </c>
      <c r="C72" s="18" t="s">
        <v>15</v>
      </c>
      <c r="D72" s="18" t="s">
        <v>16</v>
      </c>
      <c r="E72" s="47" t="s">
        <v>185</v>
      </c>
      <c r="F72" s="27" t="s">
        <v>68</v>
      </c>
      <c r="G72" s="23">
        <v>12.65</v>
      </c>
      <c r="H72" s="24" t="s">
        <v>20</v>
      </c>
      <c r="I72" s="24">
        <v>1</v>
      </c>
      <c r="J72" s="38">
        <v>1</v>
      </c>
      <c r="K72" s="23">
        <v>12.25</v>
      </c>
      <c r="L72" s="24" t="s">
        <v>20</v>
      </c>
      <c r="M72" s="24">
        <v>1</v>
      </c>
      <c r="N72" s="38">
        <v>1</v>
      </c>
      <c r="O72" s="23">
        <v>16.5</v>
      </c>
      <c r="P72" s="24" t="s">
        <v>20</v>
      </c>
      <c r="Q72" s="24">
        <v>1</v>
      </c>
      <c r="R72" s="38">
        <v>1</v>
      </c>
      <c r="S72" s="23">
        <v>12.25</v>
      </c>
      <c r="T72" s="24" t="s">
        <v>20</v>
      </c>
      <c r="U72" s="24">
        <v>1</v>
      </c>
      <c r="V72" s="38">
        <v>1</v>
      </c>
      <c r="W72" s="23">
        <v>16.5</v>
      </c>
      <c r="X72" s="24" t="s">
        <v>20</v>
      </c>
      <c r="Y72" s="24">
        <v>1</v>
      </c>
      <c r="Z72" s="38">
        <v>1</v>
      </c>
      <c r="AA72" s="16">
        <f>IFERROR(ROUND(AVERAGE(G72,K72,O72,S72,W72),1),"Erro")</f>
        <v>14</v>
      </c>
      <c r="AB72" s="16" t="str">
        <f>H72</f>
        <v>KD</v>
      </c>
      <c r="AC72" s="16">
        <f>IFERROR(ROUND(AVERAGE(I72,M72,Q72,U72,Y72),1),"Erro")</f>
        <v>1</v>
      </c>
      <c r="AD72" s="14">
        <f t="shared" ref="AD72:AD75" si="10">IFERROR(ROUND(AA72/AC72,1),"Erro")</f>
        <v>14</v>
      </c>
    </row>
    <row r="73" spans="2:30" outlineLevel="2" x14ac:dyDescent="0.25">
      <c r="B73" s="18" t="s">
        <v>14</v>
      </c>
      <c r="C73" s="18" t="s">
        <v>15</v>
      </c>
      <c r="D73" s="18" t="s">
        <v>16</v>
      </c>
      <c r="E73" s="47" t="s">
        <v>186</v>
      </c>
      <c r="F73" s="27" t="s">
        <v>54</v>
      </c>
      <c r="G73" s="23">
        <v>66.099999999999994</v>
      </c>
      <c r="H73" s="24" t="s">
        <v>20</v>
      </c>
      <c r="I73" s="24">
        <v>1</v>
      </c>
      <c r="J73" s="38">
        <v>1</v>
      </c>
      <c r="K73" s="23">
        <v>78.900000000000006</v>
      </c>
      <c r="L73" s="24" t="s">
        <v>20</v>
      </c>
      <c r="M73" s="24">
        <v>1</v>
      </c>
      <c r="N73" s="38">
        <v>1</v>
      </c>
      <c r="O73" s="23">
        <v>70.150000000000006</v>
      </c>
      <c r="P73" s="24" t="s">
        <v>20</v>
      </c>
      <c r="Q73" s="24">
        <v>1</v>
      </c>
      <c r="R73" s="38">
        <v>1</v>
      </c>
      <c r="S73" s="23">
        <v>78.900000000000006</v>
      </c>
      <c r="T73" s="24" t="s">
        <v>20</v>
      </c>
      <c r="U73" s="24">
        <v>1</v>
      </c>
      <c r="V73" s="38">
        <v>1</v>
      </c>
      <c r="W73" s="23">
        <v>70.150000000000006</v>
      </c>
      <c r="X73" s="24" t="s">
        <v>20</v>
      </c>
      <c r="Y73" s="24">
        <v>1</v>
      </c>
      <c r="Z73" s="38">
        <v>1</v>
      </c>
      <c r="AA73" s="16">
        <f>IFERROR(ROUND(AVERAGE(G73,K73,O73,S73,W73),1),"Erro")</f>
        <v>72.8</v>
      </c>
      <c r="AB73" s="16" t="str">
        <f>H73</f>
        <v>KD</v>
      </c>
      <c r="AC73" s="16">
        <f>IFERROR(ROUND(AVERAGE(I73,M73,Q73,U73,Y73),1),"Erro")</f>
        <v>1</v>
      </c>
      <c r="AD73" s="14">
        <f t="shared" si="10"/>
        <v>72.8</v>
      </c>
    </row>
    <row r="74" spans="2:30" outlineLevel="2" x14ac:dyDescent="0.25">
      <c r="B74" s="18" t="s">
        <v>14</v>
      </c>
      <c r="C74" s="18" t="s">
        <v>15</v>
      </c>
      <c r="D74" s="18" t="s">
        <v>16</v>
      </c>
      <c r="E74" s="47" t="s">
        <v>187</v>
      </c>
      <c r="F74" s="27" t="s">
        <v>55</v>
      </c>
      <c r="G74" s="23">
        <v>23.09</v>
      </c>
      <c r="H74" s="24" t="s">
        <v>20</v>
      </c>
      <c r="I74" s="24">
        <v>1</v>
      </c>
      <c r="J74" s="38">
        <v>1</v>
      </c>
      <c r="K74" s="23">
        <v>25.63</v>
      </c>
      <c r="L74" s="24" t="s">
        <v>20</v>
      </c>
      <c r="M74" s="24">
        <v>1</v>
      </c>
      <c r="N74" s="38">
        <v>1</v>
      </c>
      <c r="O74" s="23">
        <v>35.18</v>
      </c>
      <c r="P74" s="24" t="s">
        <v>20</v>
      </c>
      <c r="Q74" s="24">
        <v>1</v>
      </c>
      <c r="R74" s="38">
        <v>1</v>
      </c>
      <c r="S74" s="23">
        <v>25.63</v>
      </c>
      <c r="T74" s="24" t="s">
        <v>20</v>
      </c>
      <c r="U74" s="24">
        <v>1</v>
      </c>
      <c r="V74" s="38">
        <v>1</v>
      </c>
      <c r="W74" s="23">
        <v>35.18</v>
      </c>
      <c r="X74" s="24" t="s">
        <v>20</v>
      </c>
      <c r="Y74" s="24">
        <v>1</v>
      </c>
      <c r="Z74" s="38">
        <v>1</v>
      </c>
      <c r="AA74" s="16">
        <f>IFERROR(ROUND(AVERAGE(G74,K74,O74,S74,W74),1),"Erro")</f>
        <v>28.9</v>
      </c>
      <c r="AB74" s="16" t="str">
        <f>H74</f>
        <v>KD</v>
      </c>
      <c r="AC74" s="16">
        <f>IFERROR(ROUND(AVERAGE(I74,M74,Q74,U74,Y74),1),"Erro")</f>
        <v>1</v>
      </c>
      <c r="AD74" s="14">
        <f t="shared" si="10"/>
        <v>28.9</v>
      </c>
    </row>
    <row r="75" spans="2:30" outlineLevel="2" x14ac:dyDescent="0.25">
      <c r="B75" s="18" t="s">
        <v>14</v>
      </c>
      <c r="C75" s="18" t="s">
        <v>15</v>
      </c>
      <c r="D75" s="18" t="s">
        <v>16</v>
      </c>
      <c r="E75" s="47" t="s">
        <v>188</v>
      </c>
      <c r="F75" s="27" t="s">
        <v>69</v>
      </c>
      <c r="G75" s="23">
        <v>51.05</v>
      </c>
      <c r="H75" s="24" t="s">
        <v>20</v>
      </c>
      <c r="I75" s="24">
        <v>1</v>
      </c>
      <c r="J75" s="38">
        <v>1</v>
      </c>
      <c r="K75" s="23">
        <v>48.16</v>
      </c>
      <c r="L75" s="24" t="s">
        <v>20</v>
      </c>
      <c r="M75" s="24">
        <v>1</v>
      </c>
      <c r="N75" s="38">
        <v>1</v>
      </c>
      <c r="O75" s="23">
        <v>77.19</v>
      </c>
      <c r="P75" s="24" t="s">
        <v>20</v>
      </c>
      <c r="Q75" s="24">
        <v>1</v>
      </c>
      <c r="R75" s="38">
        <v>1</v>
      </c>
      <c r="S75" s="23">
        <v>48.16</v>
      </c>
      <c r="T75" s="24" t="s">
        <v>20</v>
      </c>
      <c r="U75" s="24">
        <v>1</v>
      </c>
      <c r="V75" s="38">
        <v>1</v>
      </c>
      <c r="W75" s="23">
        <v>77.19</v>
      </c>
      <c r="X75" s="24" t="s">
        <v>20</v>
      </c>
      <c r="Y75" s="24">
        <v>1</v>
      </c>
      <c r="Z75" s="38">
        <v>1</v>
      </c>
      <c r="AA75" s="16">
        <f>IFERROR(ROUND(AVERAGE(G75,K75,O75,S75,W75),1),"Erro")</f>
        <v>60.4</v>
      </c>
      <c r="AB75" s="16" t="str">
        <f>H75</f>
        <v>KD</v>
      </c>
      <c r="AC75" s="16">
        <f>IFERROR(ROUND(AVERAGE(I75,M75,Q75,U75,Y75),1),"Erro")</f>
        <v>1</v>
      </c>
      <c r="AD75" s="14">
        <f t="shared" si="10"/>
        <v>60.4</v>
      </c>
    </row>
    <row r="76" spans="2:30" outlineLevel="2" x14ac:dyDescent="0.25">
      <c r="B76" s="18" t="s">
        <v>14</v>
      </c>
      <c r="C76" s="18" t="s">
        <v>15</v>
      </c>
      <c r="D76" s="18" t="s">
        <v>16</v>
      </c>
      <c r="E76" s="47" t="s">
        <v>189</v>
      </c>
      <c r="F76" s="27" t="s">
        <v>70</v>
      </c>
      <c r="G76" s="23">
        <v>34.4</v>
      </c>
      <c r="H76" s="24" t="s">
        <v>20</v>
      </c>
      <c r="I76" s="24">
        <v>1</v>
      </c>
      <c r="J76" s="38">
        <v>1</v>
      </c>
      <c r="K76" s="23">
        <v>33.18</v>
      </c>
      <c r="L76" s="24" t="s">
        <v>20</v>
      </c>
      <c r="M76" s="24">
        <v>1</v>
      </c>
      <c r="N76" s="38">
        <v>1</v>
      </c>
      <c r="O76" s="23">
        <v>36.979999999999997</v>
      </c>
      <c r="P76" s="24" t="s">
        <v>20</v>
      </c>
      <c r="Q76" s="24">
        <v>1</v>
      </c>
      <c r="R76" s="38">
        <v>1</v>
      </c>
      <c r="S76" s="23">
        <v>33.18</v>
      </c>
      <c r="T76" s="24" t="s">
        <v>20</v>
      </c>
      <c r="U76" s="24">
        <v>1</v>
      </c>
      <c r="V76" s="38">
        <v>1</v>
      </c>
      <c r="W76" s="23">
        <v>36.979999999999997</v>
      </c>
      <c r="X76" s="24" t="s">
        <v>20</v>
      </c>
      <c r="Y76" s="24">
        <v>1</v>
      </c>
      <c r="Z76" s="38">
        <v>1</v>
      </c>
      <c r="AA76" s="16">
        <f>IFERROR(ROUND(AVERAGE(G76,K76,O76,S76,W76),1),"Erro")</f>
        <v>34.9</v>
      </c>
      <c r="AB76" s="16" t="str">
        <f>H76</f>
        <v>KD</v>
      </c>
      <c r="AC76" s="16">
        <f>IFERROR(ROUND(AVERAGE(I76,M76,Q76,U76,Y76),1),"Erro")</f>
        <v>1</v>
      </c>
      <c r="AD76" s="14">
        <f t="shared" ref="AD76" si="11">IFERROR(ROUND(AA76/AC76,1),"Erro")</f>
        <v>34.9</v>
      </c>
    </row>
    <row r="77" spans="2:30" x14ac:dyDescent="0.25">
      <c r="B77" s="18" t="s">
        <v>14</v>
      </c>
      <c r="C77" s="18" t="s">
        <v>71</v>
      </c>
      <c r="D77" s="18" t="s">
        <v>72</v>
      </c>
      <c r="E77" s="18">
        <v>10</v>
      </c>
      <c r="F77" s="18" t="s">
        <v>73</v>
      </c>
      <c r="G77" s="11">
        <f>IFERROR(G78+G85+G94+G100+G98+G103+G108+G78,"-")</f>
        <v>381.64</v>
      </c>
      <c r="H77" s="10"/>
      <c r="I77" s="10"/>
      <c r="J77" s="34"/>
      <c r="K77" s="11">
        <f>IFERROR(K78+K85+K94+K100+K98+K103+K108+K78,"-")</f>
        <v>412.96000000000004</v>
      </c>
      <c r="L77" s="10"/>
      <c r="M77" s="10"/>
      <c r="N77" s="34"/>
      <c r="O77" s="11">
        <f>IFERROR(O78+O85+O94+O100+O98+O103+O108+O78,"-")</f>
        <v>400.61</v>
      </c>
      <c r="P77" s="10"/>
      <c r="Q77" s="10"/>
      <c r="R77" s="34"/>
      <c r="S77" s="11">
        <f>IFERROR(S78+S85+S94+S100+S98+S103+S108+S78,"-")</f>
        <v>411.56000000000006</v>
      </c>
      <c r="T77" s="10"/>
      <c r="U77" s="10"/>
      <c r="V77" s="34"/>
      <c r="W77" s="11">
        <f>IFERROR(W78+W85+W94+W100+W98+W103+W108+W78,"-")</f>
        <v>403.08</v>
      </c>
      <c r="X77" s="10"/>
      <c r="Y77" s="10"/>
      <c r="Z77" s="34"/>
      <c r="AA77" s="11">
        <f>IFERROR(AA78+AA85+AA94+AA100+AA98+AA103+AA108+AA78,"-")</f>
        <v>401.8</v>
      </c>
      <c r="AB77" s="10"/>
      <c r="AC77" s="10"/>
      <c r="AD77" s="11">
        <f>IFERROR(AD78+AD85+AD94+AD100+AD98+AD103+AD108+AD78,"-")</f>
        <v>401.8</v>
      </c>
    </row>
    <row r="78" spans="2:30" outlineLevel="1" x14ac:dyDescent="0.25">
      <c r="B78" s="18" t="s">
        <v>14</v>
      </c>
      <c r="C78" s="18" t="s">
        <v>71</v>
      </c>
      <c r="D78" s="18" t="s">
        <v>72</v>
      </c>
      <c r="E78" s="47" t="s">
        <v>190</v>
      </c>
      <c r="F78" s="21" t="s">
        <v>74</v>
      </c>
      <c r="G78" s="13">
        <f>SUM(G79:G84)</f>
        <v>47.93</v>
      </c>
      <c r="H78" s="12" t="str">
        <f>H79</f>
        <v>KD</v>
      </c>
      <c r="I78" s="12">
        <f>IFERROR(ROUND(AVERAGE(I79:I82),0),"-")</f>
        <v>1</v>
      </c>
      <c r="J78" s="35">
        <f>IFERROR(ROUND(AVERAGE(J79:J82),0),"-")</f>
        <v>1</v>
      </c>
      <c r="K78" s="13">
        <f>SUM(K79:K84)</f>
        <v>51.85</v>
      </c>
      <c r="L78" s="12" t="str">
        <f>L79</f>
        <v>KD</v>
      </c>
      <c r="M78" s="12">
        <f>IFERROR(ROUND(AVERAGE(M79:M82),0),"-")</f>
        <v>1</v>
      </c>
      <c r="N78" s="35">
        <f>IFERROR(ROUND(AVERAGE(N79:N82),0),"-")</f>
        <v>1</v>
      </c>
      <c r="O78" s="13">
        <f>SUM(O79:O84)</f>
        <v>56.37</v>
      </c>
      <c r="P78" s="12" t="str">
        <f>P79</f>
        <v>KD</v>
      </c>
      <c r="Q78" s="12">
        <f>IFERROR(ROUND(AVERAGE(Q79:Q82),0),"-")</f>
        <v>1</v>
      </c>
      <c r="R78" s="35">
        <f>IFERROR(ROUND(AVERAGE(R79:R82),0),"-")</f>
        <v>1</v>
      </c>
      <c r="S78" s="13">
        <f>SUM(S79:S84)</f>
        <v>51.85</v>
      </c>
      <c r="T78" s="12" t="str">
        <f>T79</f>
        <v>KD</v>
      </c>
      <c r="U78" s="12">
        <f>IFERROR(ROUND(AVERAGE(U79:U82),0),"-")</f>
        <v>1</v>
      </c>
      <c r="V78" s="35">
        <f>IFERROR(ROUND(AVERAGE(V79:V82),0),"-")</f>
        <v>1</v>
      </c>
      <c r="W78" s="13">
        <f>SUM(W79:W84)</f>
        <v>56.37</v>
      </c>
      <c r="X78" s="12" t="str">
        <f>X79</f>
        <v>KD</v>
      </c>
      <c r="Y78" s="12">
        <f>IFERROR(ROUND(AVERAGE(Y79:Y82),0),"-")</f>
        <v>1</v>
      </c>
      <c r="Z78" s="35">
        <f>IFERROR(ROUND(AVERAGE(Z79:Z82),0),"-")</f>
        <v>1</v>
      </c>
      <c r="AA78" s="13">
        <f>SUM(AA79:AA84)</f>
        <v>52.9</v>
      </c>
      <c r="AB78" s="12" t="str">
        <f>AB79</f>
        <v>KD</v>
      </c>
      <c r="AC78" s="12">
        <f>IFERROR(ROUND(AVERAGE(AC79:AC82),0),"-")</f>
        <v>1</v>
      </c>
      <c r="AD78" s="13">
        <f>SUM(AD79:AD84)</f>
        <v>52.9</v>
      </c>
    </row>
    <row r="79" spans="2:30" outlineLevel="2" x14ac:dyDescent="0.25">
      <c r="B79" s="18" t="s">
        <v>14</v>
      </c>
      <c r="C79" s="18" t="s">
        <v>71</v>
      </c>
      <c r="D79" s="18" t="s">
        <v>72</v>
      </c>
      <c r="E79" s="47" t="s">
        <v>191</v>
      </c>
      <c r="F79" s="4" t="s">
        <v>75</v>
      </c>
      <c r="G79" s="23">
        <v>5.82</v>
      </c>
      <c r="H79" s="24" t="s">
        <v>20</v>
      </c>
      <c r="I79" s="24">
        <v>1</v>
      </c>
      <c r="J79" s="38">
        <v>1</v>
      </c>
      <c r="K79" s="23">
        <v>7.23</v>
      </c>
      <c r="L79" s="24" t="s">
        <v>20</v>
      </c>
      <c r="M79" s="24">
        <v>1</v>
      </c>
      <c r="N79" s="38">
        <v>1</v>
      </c>
      <c r="O79" s="23">
        <v>7.98</v>
      </c>
      <c r="P79" s="24" t="s">
        <v>20</v>
      </c>
      <c r="Q79" s="24">
        <v>1</v>
      </c>
      <c r="R79" s="38">
        <v>1</v>
      </c>
      <c r="S79" s="23">
        <v>7.23</v>
      </c>
      <c r="T79" s="24" t="s">
        <v>20</v>
      </c>
      <c r="U79" s="24">
        <v>1</v>
      </c>
      <c r="V79" s="38">
        <v>1</v>
      </c>
      <c r="W79" s="23">
        <v>7.98</v>
      </c>
      <c r="X79" s="24" t="s">
        <v>20</v>
      </c>
      <c r="Y79" s="24">
        <v>1</v>
      </c>
      <c r="Z79" s="38">
        <v>1</v>
      </c>
      <c r="AA79" s="16">
        <f>IFERROR(ROUND(AVERAGE(G79,K79,O79,S79,W79),1),"Erro")</f>
        <v>7.2</v>
      </c>
      <c r="AB79" s="24" t="s">
        <v>20</v>
      </c>
      <c r="AC79" s="16">
        <f>IFERROR(ROUND(AVERAGE(I79,M79,Q79,U79,Y79),1),"Erro")</f>
        <v>1</v>
      </c>
      <c r="AD79" s="14">
        <f>IFERROR(ROUND(AA79/AC79,1),"Erro")</f>
        <v>7.2</v>
      </c>
    </row>
    <row r="80" spans="2:30" outlineLevel="2" x14ac:dyDescent="0.25">
      <c r="B80" s="18" t="s">
        <v>14</v>
      </c>
      <c r="C80" s="18" t="s">
        <v>71</v>
      </c>
      <c r="D80" s="18" t="s">
        <v>72</v>
      </c>
      <c r="E80" s="47" t="s">
        <v>192</v>
      </c>
      <c r="F80" s="4" t="s">
        <v>76</v>
      </c>
      <c r="G80" s="23">
        <v>2.87</v>
      </c>
      <c r="H80" s="24" t="s">
        <v>20</v>
      </c>
      <c r="I80" s="24">
        <v>1</v>
      </c>
      <c r="J80" s="38">
        <v>1</v>
      </c>
      <c r="K80" s="23">
        <v>3.45</v>
      </c>
      <c r="L80" s="24" t="s">
        <v>20</v>
      </c>
      <c r="M80" s="24">
        <v>1</v>
      </c>
      <c r="N80" s="38">
        <v>1</v>
      </c>
      <c r="O80" s="23">
        <v>4.5599999999999996</v>
      </c>
      <c r="P80" s="24" t="s">
        <v>20</v>
      </c>
      <c r="Q80" s="24">
        <v>1</v>
      </c>
      <c r="R80" s="38">
        <v>1</v>
      </c>
      <c r="S80" s="23">
        <v>3.45</v>
      </c>
      <c r="T80" s="24" t="s">
        <v>20</v>
      </c>
      <c r="U80" s="24">
        <v>1</v>
      </c>
      <c r="V80" s="38">
        <v>1</v>
      </c>
      <c r="W80" s="23">
        <v>4.5599999999999996</v>
      </c>
      <c r="X80" s="24" t="s">
        <v>20</v>
      </c>
      <c r="Y80" s="24">
        <v>1</v>
      </c>
      <c r="Z80" s="38">
        <v>1</v>
      </c>
      <c r="AA80" s="16">
        <f>IFERROR(ROUND(AVERAGE(G80,K80,O80,S80,W80),1),"Erro")</f>
        <v>3.8</v>
      </c>
      <c r="AB80" s="24" t="s">
        <v>20</v>
      </c>
      <c r="AC80" s="16">
        <f>IFERROR(ROUND(AVERAGE(I80,M80,Q80,U80,Y80),1),"Erro")</f>
        <v>1</v>
      </c>
      <c r="AD80" s="14">
        <f>IFERROR(ROUND(AA80/AC80,1),"Erro")</f>
        <v>3.8</v>
      </c>
    </row>
    <row r="81" spans="2:30" outlineLevel="2" x14ac:dyDescent="0.25">
      <c r="B81" s="18" t="s">
        <v>14</v>
      </c>
      <c r="C81" s="18" t="s">
        <v>71</v>
      </c>
      <c r="D81" s="18" t="s">
        <v>72</v>
      </c>
      <c r="E81" s="47" t="s">
        <v>193</v>
      </c>
      <c r="F81" s="4" t="s">
        <v>77</v>
      </c>
      <c r="G81" s="23">
        <v>3.2</v>
      </c>
      <c r="H81" s="24" t="s">
        <v>20</v>
      </c>
      <c r="I81" s="24">
        <v>1</v>
      </c>
      <c r="J81" s="38">
        <v>1</v>
      </c>
      <c r="K81" s="23">
        <v>3.87</v>
      </c>
      <c r="L81" s="24" t="s">
        <v>20</v>
      </c>
      <c r="M81" s="24">
        <v>1</v>
      </c>
      <c r="N81" s="38">
        <v>1</v>
      </c>
      <c r="O81" s="23">
        <v>4.1100000000000003</v>
      </c>
      <c r="P81" s="24" t="s">
        <v>20</v>
      </c>
      <c r="Q81" s="24">
        <v>1</v>
      </c>
      <c r="R81" s="38">
        <v>1</v>
      </c>
      <c r="S81" s="23">
        <v>3.87</v>
      </c>
      <c r="T81" s="24" t="s">
        <v>20</v>
      </c>
      <c r="U81" s="24">
        <v>1</v>
      </c>
      <c r="V81" s="38">
        <v>1</v>
      </c>
      <c r="W81" s="23">
        <v>4.1100000000000003</v>
      </c>
      <c r="X81" s="24" t="s">
        <v>20</v>
      </c>
      <c r="Y81" s="24">
        <v>1</v>
      </c>
      <c r="Z81" s="38">
        <v>1</v>
      </c>
      <c r="AA81" s="16">
        <f>IFERROR(ROUND(AVERAGE(G81,K81,O81,S81,W81),1),"Erro")</f>
        <v>3.8</v>
      </c>
      <c r="AB81" s="24" t="s">
        <v>20</v>
      </c>
      <c r="AC81" s="16">
        <f>IFERROR(ROUND(AVERAGE(I81,M81,Q81,U81,Y81),1),"Erro")</f>
        <v>1</v>
      </c>
      <c r="AD81" s="14">
        <f>IFERROR(ROUND(AA81/AC81,1),"Erro")</f>
        <v>3.8</v>
      </c>
    </row>
    <row r="82" spans="2:30" outlineLevel="2" x14ac:dyDescent="0.25">
      <c r="B82" s="18" t="s">
        <v>14</v>
      </c>
      <c r="C82" s="18" t="s">
        <v>71</v>
      </c>
      <c r="D82" s="18" t="s">
        <v>72</v>
      </c>
      <c r="E82" s="47" t="s">
        <v>194</v>
      </c>
      <c r="F82" s="4" t="s">
        <v>78</v>
      </c>
      <c r="G82" s="23">
        <v>6.82</v>
      </c>
      <c r="H82" s="24" t="s">
        <v>20</v>
      </c>
      <c r="I82" s="24">
        <v>1</v>
      </c>
      <c r="J82" s="38">
        <v>1</v>
      </c>
      <c r="K82" s="23">
        <v>6.9</v>
      </c>
      <c r="L82" s="24" t="s">
        <v>20</v>
      </c>
      <c r="M82" s="24">
        <v>1</v>
      </c>
      <c r="N82" s="38">
        <v>1</v>
      </c>
      <c r="O82" s="23">
        <v>7.84</v>
      </c>
      <c r="P82" s="24" t="s">
        <v>20</v>
      </c>
      <c r="Q82" s="24">
        <v>1</v>
      </c>
      <c r="R82" s="38">
        <v>1</v>
      </c>
      <c r="S82" s="23">
        <v>6.9</v>
      </c>
      <c r="T82" s="24" t="s">
        <v>20</v>
      </c>
      <c r="U82" s="24">
        <v>1</v>
      </c>
      <c r="V82" s="38">
        <v>1</v>
      </c>
      <c r="W82" s="23">
        <v>7.84</v>
      </c>
      <c r="X82" s="24" t="s">
        <v>20</v>
      </c>
      <c r="Y82" s="24">
        <v>1</v>
      </c>
      <c r="Z82" s="38">
        <v>1</v>
      </c>
      <c r="AA82" s="16">
        <f>IFERROR(ROUND(AVERAGE(G82,K82,O82,S82,W82),1),"Erro")</f>
        <v>7.3</v>
      </c>
      <c r="AB82" s="24" t="s">
        <v>20</v>
      </c>
      <c r="AC82" s="16">
        <f>IFERROR(ROUND(AVERAGE(I82,M82,Q82,U82,Y82),1),"Erro")</f>
        <v>1</v>
      </c>
      <c r="AD82" s="14">
        <f>IFERROR(ROUND(AA82/AC82,1),"Erro")</f>
        <v>7.3</v>
      </c>
    </row>
    <row r="83" spans="2:30" outlineLevel="2" x14ac:dyDescent="0.25">
      <c r="B83" s="18" t="s">
        <v>14</v>
      </c>
      <c r="C83" s="18" t="s">
        <v>71</v>
      </c>
      <c r="D83" s="18" t="s">
        <v>72</v>
      </c>
      <c r="E83" s="47" t="s">
        <v>195</v>
      </c>
      <c r="F83" s="4" t="s">
        <v>79</v>
      </c>
      <c r="G83" s="23">
        <v>20.75</v>
      </c>
      <c r="H83" s="24" t="s">
        <v>20</v>
      </c>
      <c r="I83" s="24">
        <v>1</v>
      </c>
      <c r="J83" s="38">
        <v>1</v>
      </c>
      <c r="K83" s="23">
        <v>20.75</v>
      </c>
      <c r="L83" s="24" t="s">
        <v>20</v>
      </c>
      <c r="M83" s="24">
        <v>1</v>
      </c>
      <c r="N83" s="38">
        <v>1</v>
      </c>
      <c r="O83" s="23">
        <v>23.14</v>
      </c>
      <c r="P83" s="24" t="s">
        <v>20</v>
      </c>
      <c r="Q83" s="24">
        <v>1</v>
      </c>
      <c r="R83" s="38">
        <v>1</v>
      </c>
      <c r="S83" s="23">
        <v>20.75</v>
      </c>
      <c r="T83" s="24" t="s">
        <v>20</v>
      </c>
      <c r="U83" s="24">
        <v>1</v>
      </c>
      <c r="V83" s="38">
        <v>1</v>
      </c>
      <c r="W83" s="23">
        <v>23.14</v>
      </c>
      <c r="X83" s="24" t="s">
        <v>20</v>
      </c>
      <c r="Y83" s="24">
        <v>1</v>
      </c>
      <c r="Z83" s="38">
        <v>1</v>
      </c>
      <c r="AA83" s="16">
        <f>IFERROR(ROUND(AVERAGE(G83,K83,O83,S83,W83),1),"Erro")</f>
        <v>21.7</v>
      </c>
      <c r="AB83" s="24" t="s">
        <v>20</v>
      </c>
      <c r="AC83" s="16">
        <f>IFERROR(ROUND(AVERAGE(I83,M83,Q83,U83,Y83),1),"Erro")</f>
        <v>1</v>
      </c>
      <c r="AD83" s="14">
        <f t="shared" ref="AD83" si="12">IFERROR(ROUND(AA83/AC83,1),"Erro")</f>
        <v>21.7</v>
      </c>
    </row>
    <row r="84" spans="2:30" outlineLevel="2" x14ac:dyDescent="0.25">
      <c r="B84" s="18" t="s">
        <v>14</v>
      </c>
      <c r="C84" s="18" t="s">
        <v>71</v>
      </c>
      <c r="D84" s="18" t="s">
        <v>72</v>
      </c>
      <c r="E84" s="47" t="s">
        <v>196</v>
      </c>
      <c r="F84" s="4" t="s">
        <v>80</v>
      </c>
      <c r="G84" s="23">
        <v>8.4700000000000006</v>
      </c>
      <c r="H84" s="24" t="s">
        <v>20</v>
      </c>
      <c r="I84" s="24">
        <v>1</v>
      </c>
      <c r="J84" s="38">
        <v>1</v>
      </c>
      <c r="K84" s="23">
        <v>9.65</v>
      </c>
      <c r="L84" s="24" t="s">
        <v>20</v>
      </c>
      <c r="M84" s="24">
        <v>1</v>
      </c>
      <c r="N84" s="38">
        <v>1</v>
      </c>
      <c r="O84" s="23">
        <v>8.74</v>
      </c>
      <c r="P84" s="24" t="s">
        <v>20</v>
      </c>
      <c r="Q84" s="24">
        <v>1</v>
      </c>
      <c r="R84" s="38">
        <v>1</v>
      </c>
      <c r="S84" s="23">
        <v>9.65</v>
      </c>
      <c r="T84" s="24" t="s">
        <v>20</v>
      </c>
      <c r="U84" s="24">
        <v>1</v>
      </c>
      <c r="V84" s="38">
        <v>1</v>
      </c>
      <c r="W84" s="23">
        <v>8.74</v>
      </c>
      <c r="X84" s="24" t="s">
        <v>20</v>
      </c>
      <c r="Y84" s="24">
        <v>1</v>
      </c>
      <c r="Z84" s="38">
        <v>1</v>
      </c>
      <c r="AA84" s="16">
        <f>IFERROR(ROUND(AVERAGE(G84,K84,O84,S84,W84),1),"Erro")</f>
        <v>9.1</v>
      </c>
      <c r="AB84" s="24" t="s">
        <v>20</v>
      </c>
      <c r="AC84" s="16">
        <f>IFERROR(ROUND(AVERAGE(I84,M84,Q84,U84,Y84),1),"Erro")</f>
        <v>1</v>
      </c>
      <c r="AD84" s="14">
        <f t="shared" ref="AD84" si="13">IFERROR(ROUND(AA84/AC84,1),"Erro")</f>
        <v>9.1</v>
      </c>
    </row>
    <row r="85" spans="2:30" outlineLevel="1" x14ac:dyDescent="0.25">
      <c r="B85" s="18" t="s">
        <v>14</v>
      </c>
      <c r="C85" s="18" t="s">
        <v>71</v>
      </c>
      <c r="D85" s="18" t="s">
        <v>72</v>
      </c>
      <c r="E85" s="47">
        <v>11</v>
      </c>
      <c r="F85" s="21" t="s">
        <v>81</v>
      </c>
      <c r="G85" s="13">
        <f>SUM(G86:G93)</f>
        <v>77.52</v>
      </c>
      <c r="H85" s="12" t="str">
        <f>H86</f>
        <v>KD</v>
      </c>
      <c r="I85" s="12">
        <f>IFERROR(ROUND(AVERAGE(I86:I92),0),"-")</f>
        <v>1</v>
      </c>
      <c r="J85" s="35">
        <f>IFERROR(ROUND(AVERAGE(J86:J92),0),"-")</f>
        <v>1</v>
      </c>
      <c r="K85" s="13">
        <f>SUM(K86:K93)</f>
        <v>75.969999999999985</v>
      </c>
      <c r="L85" s="12" t="str">
        <f>L86</f>
        <v>KD</v>
      </c>
      <c r="M85" s="12">
        <f>IFERROR(ROUND(AVERAGE(M86:M92),0),"-")</f>
        <v>1</v>
      </c>
      <c r="N85" s="35">
        <f>IFERROR(ROUND(AVERAGE(N86:N92),0),"-")</f>
        <v>1</v>
      </c>
      <c r="O85" s="13">
        <f>SUM(O86:O93)</f>
        <v>76.41</v>
      </c>
      <c r="P85" s="12" t="str">
        <f>P86</f>
        <v>KD</v>
      </c>
      <c r="Q85" s="12">
        <f>IFERROR(ROUND(AVERAGE(Q86:Q92),0),"-")</f>
        <v>1</v>
      </c>
      <c r="R85" s="35">
        <f>IFERROR(ROUND(AVERAGE(R86:R92),0),"-")</f>
        <v>1</v>
      </c>
      <c r="S85" s="13">
        <f>SUM(S86:S93)</f>
        <v>75.969999999999985</v>
      </c>
      <c r="T85" s="12" t="str">
        <f>T86</f>
        <v>KD</v>
      </c>
      <c r="U85" s="12">
        <f>IFERROR(ROUND(AVERAGE(U86:U92),0),"-")</f>
        <v>1</v>
      </c>
      <c r="V85" s="35">
        <f>IFERROR(ROUND(AVERAGE(V86:V92),0),"-")</f>
        <v>1</v>
      </c>
      <c r="W85" s="13">
        <f>SUM(W86:W93)</f>
        <v>76.41</v>
      </c>
      <c r="X85" s="12" t="str">
        <f>X86</f>
        <v>KD</v>
      </c>
      <c r="Y85" s="12">
        <f>IFERROR(ROUND(AVERAGE(Y86:Y92),0),"-")</f>
        <v>1</v>
      </c>
      <c r="Z85" s="35">
        <f>IFERROR(ROUND(AVERAGE(Z86:Z92),0),"-")</f>
        <v>1</v>
      </c>
      <c r="AA85" s="15">
        <f>SUM(AA86:AA93)</f>
        <v>76.400000000000006</v>
      </c>
      <c r="AB85" s="12" t="str">
        <f>AB86</f>
        <v>KD</v>
      </c>
      <c r="AC85" s="12">
        <f>IFERROR(ROUND(AVERAGE(AC86:AC92),0),"-")</f>
        <v>1</v>
      </c>
      <c r="AD85" s="15">
        <f>SUM(AD86:AD93)</f>
        <v>76.400000000000006</v>
      </c>
    </row>
    <row r="86" spans="2:30" outlineLevel="2" x14ac:dyDescent="0.25">
      <c r="B86" s="18" t="s">
        <v>14</v>
      </c>
      <c r="C86" s="18" t="s">
        <v>71</v>
      </c>
      <c r="D86" s="18" t="s">
        <v>72</v>
      </c>
      <c r="E86" s="47" t="s">
        <v>197</v>
      </c>
      <c r="F86" s="27" t="s">
        <v>82</v>
      </c>
      <c r="G86" s="23">
        <v>3.22</v>
      </c>
      <c r="H86" s="24" t="s">
        <v>20</v>
      </c>
      <c r="I86" s="24">
        <v>1</v>
      </c>
      <c r="J86" s="38">
        <v>1</v>
      </c>
      <c r="K86" s="23">
        <v>4.88</v>
      </c>
      <c r="L86" s="24" t="s">
        <v>20</v>
      </c>
      <c r="M86" s="24">
        <v>1</v>
      </c>
      <c r="N86" s="38">
        <v>1</v>
      </c>
      <c r="O86" s="29">
        <v>2.66</v>
      </c>
      <c r="P86" s="24" t="s">
        <v>20</v>
      </c>
      <c r="Q86" s="24">
        <v>1</v>
      </c>
      <c r="R86" s="38">
        <v>1</v>
      </c>
      <c r="S86" s="23">
        <v>4.88</v>
      </c>
      <c r="T86" s="24" t="s">
        <v>20</v>
      </c>
      <c r="U86" s="24">
        <v>1</v>
      </c>
      <c r="V86" s="38">
        <v>1</v>
      </c>
      <c r="W86" s="29">
        <v>2.66</v>
      </c>
      <c r="X86" s="24" t="s">
        <v>20</v>
      </c>
      <c r="Y86" s="24">
        <v>1</v>
      </c>
      <c r="Z86" s="38">
        <v>1</v>
      </c>
      <c r="AA86" s="16">
        <f>IFERROR(ROUND(AVERAGE(G86,K86,O86,S86,W86),1),"Erro")</f>
        <v>3.7</v>
      </c>
      <c r="AB86" s="16" t="str">
        <f>H86</f>
        <v>KD</v>
      </c>
      <c r="AC86" s="16">
        <f>IFERROR(ROUND(AVERAGE(I86,M86,Q86,U86,Y86),1),"Erro")</f>
        <v>1</v>
      </c>
      <c r="AD86" s="14">
        <f t="shared" ref="AD86:AD92" si="14">IFERROR(ROUND(AA86/AC86,1),"Erro")</f>
        <v>3.7</v>
      </c>
    </row>
    <row r="87" spans="2:30" outlineLevel="2" x14ac:dyDescent="0.25">
      <c r="B87" s="18" t="s">
        <v>14</v>
      </c>
      <c r="C87" s="18" t="s">
        <v>71</v>
      </c>
      <c r="D87" s="18" t="s">
        <v>72</v>
      </c>
      <c r="E87" s="47" t="s">
        <v>198</v>
      </c>
      <c r="F87" s="27" t="s">
        <v>83</v>
      </c>
      <c r="G87" s="23">
        <v>1.37</v>
      </c>
      <c r="H87" s="24" t="s">
        <v>20</v>
      </c>
      <c r="I87" s="24">
        <v>1</v>
      </c>
      <c r="J87" s="38">
        <v>1</v>
      </c>
      <c r="K87" s="23">
        <v>2.11</v>
      </c>
      <c r="L87" s="24" t="s">
        <v>20</v>
      </c>
      <c r="M87" s="24">
        <v>1</v>
      </c>
      <c r="N87" s="38">
        <v>1</v>
      </c>
      <c r="O87" s="29">
        <v>2.5499999999999998</v>
      </c>
      <c r="P87" s="24" t="s">
        <v>20</v>
      </c>
      <c r="Q87" s="24">
        <v>1</v>
      </c>
      <c r="R87" s="38">
        <v>1</v>
      </c>
      <c r="S87" s="23">
        <v>2.11</v>
      </c>
      <c r="T87" s="24" t="s">
        <v>20</v>
      </c>
      <c r="U87" s="24">
        <v>1</v>
      </c>
      <c r="V87" s="38">
        <v>1</v>
      </c>
      <c r="W87" s="29">
        <v>2.5499999999999998</v>
      </c>
      <c r="X87" s="24" t="s">
        <v>20</v>
      </c>
      <c r="Y87" s="24">
        <v>1</v>
      </c>
      <c r="Z87" s="38">
        <v>1</v>
      </c>
      <c r="AA87" s="16">
        <f>IFERROR(ROUND(AVERAGE(G87,K87,O87,S87,W87),1),"Erro")</f>
        <v>2.1</v>
      </c>
      <c r="AB87" s="16" t="str">
        <f>H87</f>
        <v>KD</v>
      </c>
      <c r="AC87" s="16">
        <f>IFERROR(ROUND(AVERAGE(I87,M87,Q87,U87,Y87),1),"Erro")</f>
        <v>1</v>
      </c>
      <c r="AD87" s="14">
        <f t="shared" si="14"/>
        <v>2.1</v>
      </c>
    </row>
    <row r="88" spans="2:30" outlineLevel="2" x14ac:dyDescent="0.25">
      <c r="B88" s="18" t="s">
        <v>14</v>
      </c>
      <c r="C88" s="18" t="s">
        <v>71</v>
      </c>
      <c r="D88" s="18" t="s">
        <v>72</v>
      </c>
      <c r="E88" s="47" t="s">
        <v>199</v>
      </c>
      <c r="F88" s="27" t="s">
        <v>84</v>
      </c>
      <c r="G88" s="23">
        <v>3.09</v>
      </c>
      <c r="H88" s="24" t="s">
        <v>20</v>
      </c>
      <c r="I88" s="24">
        <v>1</v>
      </c>
      <c r="J88" s="38">
        <v>1</v>
      </c>
      <c r="K88" s="23">
        <v>1.24</v>
      </c>
      <c r="L88" s="24" t="s">
        <v>20</v>
      </c>
      <c r="M88" s="24">
        <v>1</v>
      </c>
      <c r="N88" s="38">
        <v>1</v>
      </c>
      <c r="O88" s="29">
        <v>2.4500000000000002</v>
      </c>
      <c r="P88" s="24" t="s">
        <v>20</v>
      </c>
      <c r="Q88" s="24">
        <v>1</v>
      </c>
      <c r="R88" s="38">
        <v>1</v>
      </c>
      <c r="S88" s="23">
        <v>1.24</v>
      </c>
      <c r="T88" s="24" t="s">
        <v>20</v>
      </c>
      <c r="U88" s="24">
        <v>1</v>
      </c>
      <c r="V88" s="38">
        <v>1</v>
      </c>
      <c r="W88" s="29">
        <v>2.4500000000000002</v>
      </c>
      <c r="X88" s="24" t="s">
        <v>20</v>
      </c>
      <c r="Y88" s="24">
        <v>1</v>
      </c>
      <c r="Z88" s="38">
        <v>1</v>
      </c>
      <c r="AA88" s="16">
        <f>IFERROR(ROUND(AVERAGE(G88,K88,O88,S88,W88),1),"Erro")</f>
        <v>2.1</v>
      </c>
      <c r="AB88" s="16" t="str">
        <f>H88</f>
        <v>KD</v>
      </c>
      <c r="AC88" s="16">
        <f>IFERROR(ROUND(AVERAGE(I88,M88,Q88,U88,Y88),1),"Erro")</f>
        <v>1</v>
      </c>
      <c r="AD88" s="14">
        <f t="shared" si="14"/>
        <v>2.1</v>
      </c>
    </row>
    <row r="89" spans="2:30" outlineLevel="2" x14ac:dyDescent="0.25">
      <c r="B89" s="18" t="s">
        <v>14</v>
      </c>
      <c r="C89" s="18" t="s">
        <v>71</v>
      </c>
      <c r="D89" s="18" t="s">
        <v>72</v>
      </c>
      <c r="E89" s="47" t="s">
        <v>200</v>
      </c>
      <c r="F89" s="27" t="s">
        <v>85</v>
      </c>
      <c r="G89" s="23">
        <v>25.81</v>
      </c>
      <c r="H89" s="24" t="s">
        <v>20</v>
      </c>
      <c r="I89" s="24">
        <v>1</v>
      </c>
      <c r="J89" s="38">
        <v>1</v>
      </c>
      <c r="K89" s="23">
        <v>23.74</v>
      </c>
      <c r="L89" s="24" t="s">
        <v>20</v>
      </c>
      <c r="M89" s="24">
        <v>1</v>
      </c>
      <c r="N89" s="38">
        <v>1</v>
      </c>
      <c r="O89" s="29">
        <v>22.46</v>
      </c>
      <c r="P89" s="24" t="s">
        <v>20</v>
      </c>
      <c r="Q89" s="24">
        <v>1</v>
      </c>
      <c r="R89" s="38">
        <v>1</v>
      </c>
      <c r="S89" s="23">
        <v>23.74</v>
      </c>
      <c r="T89" s="24" t="s">
        <v>20</v>
      </c>
      <c r="U89" s="24">
        <v>1</v>
      </c>
      <c r="V89" s="38">
        <v>1</v>
      </c>
      <c r="W89" s="29">
        <v>22.46</v>
      </c>
      <c r="X89" s="24" t="s">
        <v>20</v>
      </c>
      <c r="Y89" s="24">
        <v>1</v>
      </c>
      <c r="Z89" s="38">
        <v>1</v>
      </c>
      <c r="AA89" s="16">
        <f>IFERROR(ROUND(AVERAGE(G89,K89,O89,S89,W89),1),"Erro")</f>
        <v>23.6</v>
      </c>
      <c r="AB89" s="16" t="str">
        <f>H89</f>
        <v>KD</v>
      </c>
      <c r="AC89" s="16">
        <f>IFERROR(ROUND(AVERAGE(I89,M89,Q89,U89,Y89),1),"Erro")</f>
        <v>1</v>
      </c>
      <c r="AD89" s="14">
        <f t="shared" si="14"/>
        <v>23.6</v>
      </c>
    </row>
    <row r="90" spans="2:30" outlineLevel="2" x14ac:dyDescent="0.25">
      <c r="B90" s="18" t="s">
        <v>14</v>
      </c>
      <c r="C90" s="18" t="s">
        <v>71</v>
      </c>
      <c r="D90" s="18" t="s">
        <v>72</v>
      </c>
      <c r="E90" s="47" t="s">
        <v>201</v>
      </c>
      <c r="F90" s="27" t="s">
        <v>86</v>
      </c>
      <c r="G90" s="23">
        <v>15.94</v>
      </c>
      <c r="H90" s="24" t="s">
        <v>20</v>
      </c>
      <c r="I90" s="24">
        <v>1</v>
      </c>
      <c r="J90" s="38">
        <v>1</v>
      </c>
      <c r="K90" s="23">
        <v>17.329999999999998</v>
      </c>
      <c r="L90" s="24" t="s">
        <v>20</v>
      </c>
      <c r="M90" s="24">
        <v>1</v>
      </c>
      <c r="N90" s="38">
        <v>1</v>
      </c>
      <c r="O90" s="29">
        <v>18.68</v>
      </c>
      <c r="P90" s="24" t="s">
        <v>20</v>
      </c>
      <c r="Q90" s="24">
        <v>1</v>
      </c>
      <c r="R90" s="38">
        <v>1</v>
      </c>
      <c r="S90" s="23">
        <v>17.329999999999998</v>
      </c>
      <c r="T90" s="24" t="s">
        <v>20</v>
      </c>
      <c r="U90" s="24">
        <v>1</v>
      </c>
      <c r="V90" s="38">
        <v>1</v>
      </c>
      <c r="W90" s="29">
        <v>18.68</v>
      </c>
      <c r="X90" s="24" t="s">
        <v>20</v>
      </c>
      <c r="Y90" s="24">
        <v>1</v>
      </c>
      <c r="Z90" s="38">
        <v>1</v>
      </c>
      <c r="AA90" s="16">
        <f>IFERROR(ROUND(AVERAGE(G90,K90,O90,S90,W90),1),"Erro")</f>
        <v>17.600000000000001</v>
      </c>
      <c r="AB90" s="16" t="str">
        <f>H90</f>
        <v>KD</v>
      </c>
      <c r="AC90" s="16">
        <f>IFERROR(ROUND(AVERAGE(I90,M90,Q90,U90,Y90),1),"Erro")</f>
        <v>1</v>
      </c>
      <c r="AD90" s="14">
        <f t="shared" si="14"/>
        <v>17.600000000000001</v>
      </c>
    </row>
    <row r="91" spans="2:30" outlineLevel="2" x14ac:dyDescent="0.25">
      <c r="B91" s="18" t="s">
        <v>14</v>
      </c>
      <c r="C91" s="18" t="s">
        <v>71</v>
      </c>
      <c r="D91" s="18" t="s">
        <v>72</v>
      </c>
      <c r="E91" s="47" t="s">
        <v>202</v>
      </c>
      <c r="F91" s="27" t="s">
        <v>87</v>
      </c>
      <c r="G91" s="23">
        <v>6.12</v>
      </c>
      <c r="H91" s="24" t="s">
        <v>20</v>
      </c>
      <c r="I91" s="24">
        <v>1</v>
      </c>
      <c r="J91" s="38">
        <v>1</v>
      </c>
      <c r="K91" s="23">
        <v>4.41</v>
      </c>
      <c r="L91" s="24" t="s">
        <v>20</v>
      </c>
      <c r="M91" s="24">
        <v>1</v>
      </c>
      <c r="N91" s="38">
        <v>1</v>
      </c>
      <c r="O91" s="29">
        <v>5.64</v>
      </c>
      <c r="P91" s="24" t="s">
        <v>20</v>
      </c>
      <c r="Q91" s="24">
        <v>1</v>
      </c>
      <c r="R91" s="38">
        <v>1</v>
      </c>
      <c r="S91" s="23">
        <v>4.41</v>
      </c>
      <c r="T91" s="24" t="s">
        <v>20</v>
      </c>
      <c r="U91" s="24">
        <v>1</v>
      </c>
      <c r="V91" s="38">
        <v>1</v>
      </c>
      <c r="W91" s="29">
        <v>5.64</v>
      </c>
      <c r="X91" s="24" t="s">
        <v>20</v>
      </c>
      <c r="Y91" s="24">
        <v>1</v>
      </c>
      <c r="Z91" s="38">
        <v>1</v>
      </c>
      <c r="AA91" s="16">
        <f>IFERROR(ROUND(AVERAGE(G91,K91,O91,S91,W91),1),"Erro")</f>
        <v>5.2</v>
      </c>
      <c r="AB91" s="16" t="str">
        <f>H91</f>
        <v>KD</v>
      </c>
      <c r="AC91" s="16">
        <f>IFERROR(ROUND(AVERAGE(I91,M91,Q91,U91,Y91),1),"Erro")</f>
        <v>1</v>
      </c>
      <c r="AD91" s="14">
        <f t="shared" si="14"/>
        <v>5.2</v>
      </c>
    </row>
    <row r="92" spans="2:30" outlineLevel="2" x14ac:dyDescent="0.25">
      <c r="B92" s="18" t="s">
        <v>14</v>
      </c>
      <c r="C92" s="18" t="s">
        <v>71</v>
      </c>
      <c r="D92" s="18" t="s">
        <v>72</v>
      </c>
      <c r="E92" s="47" t="s">
        <v>203</v>
      </c>
      <c r="F92" s="27" t="s">
        <v>88</v>
      </c>
      <c r="G92" s="23">
        <v>14.44</v>
      </c>
      <c r="H92" s="24" t="s">
        <v>20</v>
      </c>
      <c r="I92" s="24">
        <v>1</v>
      </c>
      <c r="J92" s="38">
        <v>1</v>
      </c>
      <c r="K92" s="23">
        <v>16.02</v>
      </c>
      <c r="L92" s="24" t="s">
        <v>20</v>
      </c>
      <c r="M92" s="24">
        <v>1</v>
      </c>
      <c r="N92" s="38">
        <v>1</v>
      </c>
      <c r="O92" s="29">
        <v>15.02</v>
      </c>
      <c r="P92" s="24" t="s">
        <v>20</v>
      </c>
      <c r="Q92" s="24">
        <v>1</v>
      </c>
      <c r="R92" s="38">
        <v>1</v>
      </c>
      <c r="S92" s="23">
        <v>16.02</v>
      </c>
      <c r="T92" s="24" t="s">
        <v>20</v>
      </c>
      <c r="U92" s="24">
        <v>1</v>
      </c>
      <c r="V92" s="38">
        <v>1</v>
      </c>
      <c r="W92" s="29">
        <v>15.02</v>
      </c>
      <c r="X92" s="24" t="s">
        <v>20</v>
      </c>
      <c r="Y92" s="24">
        <v>1</v>
      </c>
      <c r="Z92" s="38">
        <v>1</v>
      </c>
      <c r="AA92" s="16">
        <f>IFERROR(ROUND(AVERAGE(G92,K92,O92,S92,W92),1),"Erro")</f>
        <v>15.3</v>
      </c>
      <c r="AB92" s="16" t="str">
        <f>H92</f>
        <v>KD</v>
      </c>
      <c r="AC92" s="16">
        <f>IFERROR(ROUND(AVERAGE(I92,M92,Q92,U92,Y92),1),"Erro")</f>
        <v>1</v>
      </c>
      <c r="AD92" s="14">
        <f t="shared" si="14"/>
        <v>15.3</v>
      </c>
    </row>
    <row r="93" spans="2:30" ht="19.5" customHeight="1" outlineLevel="2" x14ac:dyDescent="0.25">
      <c r="B93" s="18" t="s">
        <v>14</v>
      </c>
      <c r="C93" s="18" t="s">
        <v>71</v>
      </c>
      <c r="D93" s="18" t="s">
        <v>72</v>
      </c>
      <c r="E93" s="47" t="s">
        <v>204</v>
      </c>
      <c r="F93" s="27" t="s">
        <v>89</v>
      </c>
      <c r="G93" s="23">
        <v>7.53</v>
      </c>
      <c r="H93" s="24" t="s">
        <v>20</v>
      </c>
      <c r="I93" s="24">
        <v>1</v>
      </c>
      <c r="J93" s="38">
        <v>1</v>
      </c>
      <c r="K93" s="23">
        <v>6.24</v>
      </c>
      <c r="L93" s="24" t="s">
        <v>20</v>
      </c>
      <c r="M93" s="24">
        <v>1</v>
      </c>
      <c r="N93" s="38">
        <v>1</v>
      </c>
      <c r="O93" s="29">
        <v>6.95</v>
      </c>
      <c r="P93" s="24" t="s">
        <v>20</v>
      </c>
      <c r="Q93" s="24">
        <v>1</v>
      </c>
      <c r="R93" s="38">
        <v>1</v>
      </c>
      <c r="S93" s="23">
        <v>6.24</v>
      </c>
      <c r="T93" s="24" t="s">
        <v>20</v>
      </c>
      <c r="U93" s="24">
        <v>1</v>
      </c>
      <c r="V93" s="38">
        <v>1</v>
      </c>
      <c r="W93" s="29">
        <v>6.95</v>
      </c>
      <c r="X93" s="24" t="s">
        <v>20</v>
      </c>
      <c r="Y93" s="24">
        <v>1</v>
      </c>
      <c r="Z93" s="38">
        <v>1</v>
      </c>
      <c r="AA93" s="16">
        <f>IFERROR(ROUND(AVERAGE(G93,K93,O93,S93,W93),1),"Erro")</f>
        <v>6.8</v>
      </c>
      <c r="AB93" s="16" t="str">
        <f>H93</f>
        <v>KD</v>
      </c>
      <c r="AC93" s="16">
        <f>IFERROR(ROUND(AVERAGE(I93,M93,Q93,U93,Y93),1),"Erro")</f>
        <v>1</v>
      </c>
      <c r="AD93" s="14">
        <f t="shared" ref="AD93" si="15">IFERROR(ROUND(AA93/AC93,1),"Erro")</f>
        <v>6.8</v>
      </c>
    </row>
    <row r="94" spans="2:30" ht="19.5" customHeight="1" outlineLevel="1" x14ac:dyDescent="0.25">
      <c r="B94" s="18" t="s">
        <v>14</v>
      </c>
      <c r="C94" s="18" t="s">
        <v>71</v>
      </c>
      <c r="D94" s="18" t="s">
        <v>72</v>
      </c>
      <c r="E94" s="47">
        <v>12</v>
      </c>
      <c r="F94" s="21" t="s">
        <v>90</v>
      </c>
      <c r="G94" s="13">
        <f>SUM(G95:G97)</f>
        <v>141.19</v>
      </c>
      <c r="H94" s="12" t="str">
        <f>H96</f>
        <v>CARRO</v>
      </c>
      <c r="I94" s="12">
        <f>IFERROR(ROUND(AVERAGE(I96:I96),0),"-")</f>
        <v>1</v>
      </c>
      <c r="J94" s="35">
        <f>IFERROR(ROUND(AVERAGE(J96:J96),0),"-")</f>
        <v>1</v>
      </c>
      <c r="K94" s="30">
        <f>SUM(K95:K97)</f>
        <v>159.61000000000001</v>
      </c>
      <c r="L94" s="35" t="str">
        <f>L96</f>
        <v>CARRO</v>
      </c>
      <c r="M94" s="12">
        <f>IFERROR(ROUND(AVERAGE(M96:M96),0),"-")</f>
        <v>1</v>
      </c>
      <c r="N94" s="35">
        <f>IFERROR(ROUND(AVERAGE(N96:N96),0),"-")</f>
        <v>1</v>
      </c>
      <c r="O94" s="13">
        <f>SUM(O95:O97)</f>
        <v>133.13</v>
      </c>
      <c r="P94" s="35" t="str">
        <f>P96</f>
        <v>CARRO</v>
      </c>
      <c r="Q94" s="12">
        <f>IFERROR(ROUND(AVERAGE(Q96:Q96),0),"-")</f>
        <v>1</v>
      </c>
      <c r="R94" s="35">
        <f>IFERROR(ROUND(AVERAGE(R96:R96),0),"-")</f>
        <v>1</v>
      </c>
      <c r="S94" s="30">
        <f>SUM(S95:S97)</f>
        <v>159.61000000000001</v>
      </c>
      <c r="T94" s="35" t="str">
        <f>T96</f>
        <v>CARRO</v>
      </c>
      <c r="U94" s="12">
        <f>IFERROR(ROUND(AVERAGE(U96:U96),0),"-")</f>
        <v>1</v>
      </c>
      <c r="V94" s="35">
        <f>IFERROR(ROUND(AVERAGE(V96:V96),0),"-")</f>
        <v>1</v>
      </c>
      <c r="W94" s="13">
        <f>SUM(W95:W97)</f>
        <v>133.13</v>
      </c>
      <c r="X94" s="35" t="str">
        <f>X96</f>
        <v>CARRO</v>
      </c>
      <c r="Y94" s="12">
        <f>IFERROR(ROUND(AVERAGE(Y96:Y96),0),"-")</f>
        <v>1</v>
      </c>
      <c r="Z94" s="35">
        <f>IFERROR(ROUND(AVERAGE(Z96:Z96),0),"-")</f>
        <v>1</v>
      </c>
      <c r="AA94" s="13">
        <f>SUM(AA95:AA97)</f>
        <v>145.30000000000001</v>
      </c>
      <c r="AB94" s="12" t="str">
        <f>AB96</f>
        <v>CARRO</v>
      </c>
      <c r="AC94" s="12">
        <f>IFERROR(ROUND(AVERAGE(AC96:AC96),0),"-")</f>
        <v>1</v>
      </c>
      <c r="AD94" s="13">
        <f>SUM(AD95:AD97)</f>
        <v>145.30000000000001</v>
      </c>
    </row>
    <row r="95" spans="2:30" ht="19.5" customHeight="1" outlineLevel="2" x14ac:dyDescent="0.25">
      <c r="B95" s="18" t="s">
        <v>14</v>
      </c>
      <c r="C95" s="18" t="s">
        <v>71</v>
      </c>
      <c r="D95" s="18" t="s">
        <v>72</v>
      </c>
      <c r="E95" s="47" t="s">
        <v>205</v>
      </c>
      <c r="F95" s="27" t="s">
        <v>91</v>
      </c>
      <c r="G95" s="23">
        <v>54.07</v>
      </c>
      <c r="H95" s="24" t="s">
        <v>92</v>
      </c>
      <c r="I95" s="24">
        <v>1</v>
      </c>
      <c r="J95" s="38">
        <v>1</v>
      </c>
      <c r="K95" s="23">
        <v>56.2</v>
      </c>
      <c r="L95" s="38" t="s">
        <v>92</v>
      </c>
      <c r="M95" s="38">
        <v>1</v>
      </c>
      <c r="N95" s="38">
        <v>1</v>
      </c>
      <c r="O95" s="23">
        <v>48.3</v>
      </c>
      <c r="P95" s="38" t="s">
        <v>92</v>
      </c>
      <c r="Q95" s="38">
        <v>1</v>
      </c>
      <c r="R95" s="38">
        <v>1</v>
      </c>
      <c r="S95" s="23">
        <v>56.2</v>
      </c>
      <c r="T95" s="38" t="s">
        <v>92</v>
      </c>
      <c r="U95" s="38">
        <v>1</v>
      </c>
      <c r="V95" s="38">
        <v>1</v>
      </c>
      <c r="W95" s="23">
        <v>48.3</v>
      </c>
      <c r="X95" s="38" t="s">
        <v>92</v>
      </c>
      <c r="Y95" s="38">
        <v>1</v>
      </c>
      <c r="Z95" s="38">
        <v>1</v>
      </c>
      <c r="AA95" s="16">
        <f>IFERROR(ROUND(AVERAGE(G95,K95,O95,S95,W95),1),"Erro")</f>
        <v>52.6</v>
      </c>
      <c r="AB95" s="16" t="str">
        <f>H95</f>
        <v>CARRO</v>
      </c>
      <c r="AC95" s="16">
        <f>IFERROR(ROUND(AVERAGE(I95,M95,Q95,U95,Y95),1),"Erro")</f>
        <v>1</v>
      </c>
      <c r="AD95" s="14">
        <f>IFERROR(ROUND(AA95/AC95,1),"Erro")</f>
        <v>52.6</v>
      </c>
    </row>
    <row r="96" spans="2:30" ht="19.5" customHeight="1" outlineLevel="2" x14ac:dyDescent="0.25">
      <c r="B96" s="18" t="s">
        <v>14</v>
      </c>
      <c r="C96" s="18" t="s">
        <v>71</v>
      </c>
      <c r="D96" s="18" t="s">
        <v>72</v>
      </c>
      <c r="E96" s="47" t="s">
        <v>206</v>
      </c>
      <c r="F96" s="27" t="s">
        <v>93</v>
      </c>
      <c r="G96" s="23">
        <v>4.34</v>
      </c>
      <c r="H96" s="24" t="s">
        <v>92</v>
      </c>
      <c r="I96" s="24">
        <v>1</v>
      </c>
      <c r="J96" s="38">
        <v>1</v>
      </c>
      <c r="K96" s="23">
        <v>5.89</v>
      </c>
      <c r="L96" s="38" t="s">
        <v>92</v>
      </c>
      <c r="M96" s="38">
        <v>1</v>
      </c>
      <c r="N96" s="38">
        <v>1</v>
      </c>
      <c r="O96" s="23">
        <v>6.51</v>
      </c>
      <c r="P96" s="38" t="s">
        <v>92</v>
      </c>
      <c r="Q96" s="38">
        <v>1</v>
      </c>
      <c r="R96" s="38">
        <v>1</v>
      </c>
      <c r="S96" s="23">
        <v>5.89</v>
      </c>
      <c r="T96" s="38" t="s">
        <v>92</v>
      </c>
      <c r="U96" s="38">
        <v>1</v>
      </c>
      <c r="V96" s="38">
        <v>1</v>
      </c>
      <c r="W96" s="23">
        <v>6.51</v>
      </c>
      <c r="X96" s="38" t="s">
        <v>92</v>
      </c>
      <c r="Y96" s="38">
        <v>1</v>
      </c>
      <c r="Z96" s="38">
        <v>1</v>
      </c>
      <c r="AA96" s="16">
        <f>IFERROR(ROUND(AVERAGE(G96,K96,O96,S96,W96),1),"Erro")</f>
        <v>5.8</v>
      </c>
      <c r="AB96" s="16" t="str">
        <f>H96</f>
        <v>CARRO</v>
      </c>
      <c r="AC96" s="16">
        <f>IFERROR(ROUND(AVERAGE(I96,M96,Q96,U96,Y96),1),"Erro")</f>
        <v>1</v>
      </c>
      <c r="AD96" s="14">
        <f>IFERROR(ROUND(AA96/AC96,1),"Erro")</f>
        <v>5.8</v>
      </c>
    </row>
    <row r="97" spans="2:30" ht="19.5" customHeight="1" outlineLevel="2" x14ac:dyDescent="0.25">
      <c r="B97" s="18" t="s">
        <v>14</v>
      </c>
      <c r="C97" s="18" t="s">
        <v>71</v>
      </c>
      <c r="D97" s="18" t="s">
        <v>72</v>
      </c>
      <c r="E97" s="47" t="s">
        <v>207</v>
      </c>
      <c r="F97" s="27" t="s">
        <v>89</v>
      </c>
      <c r="G97" s="23">
        <v>82.78</v>
      </c>
      <c r="H97" s="24" t="s">
        <v>92</v>
      </c>
      <c r="I97" s="24">
        <v>1</v>
      </c>
      <c r="J97" s="38">
        <v>1</v>
      </c>
      <c r="K97" s="23">
        <v>97.52</v>
      </c>
      <c r="L97" s="38" t="s">
        <v>92</v>
      </c>
      <c r="M97" s="38">
        <v>1</v>
      </c>
      <c r="N97" s="38">
        <v>1</v>
      </c>
      <c r="O97" s="23">
        <v>78.319999999999993</v>
      </c>
      <c r="P97" s="38" t="s">
        <v>92</v>
      </c>
      <c r="Q97" s="38">
        <v>1</v>
      </c>
      <c r="R97" s="38">
        <v>1</v>
      </c>
      <c r="S97" s="23">
        <v>97.52</v>
      </c>
      <c r="T97" s="38" t="s">
        <v>92</v>
      </c>
      <c r="U97" s="38">
        <v>1</v>
      </c>
      <c r="V97" s="38">
        <v>1</v>
      </c>
      <c r="W97" s="23">
        <v>78.319999999999993</v>
      </c>
      <c r="X97" s="38" t="s">
        <v>92</v>
      </c>
      <c r="Y97" s="38">
        <v>1</v>
      </c>
      <c r="Z97" s="38">
        <v>1</v>
      </c>
      <c r="AA97" s="16">
        <f>IFERROR(ROUND(AVERAGE(G97,K97,O97,S97,W97),1),"Erro")</f>
        <v>86.9</v>
      </c>
      <c r="AB97" s="16" t="str">
        <f>H97</f>
        <v>CARRO</v>
      </c>
      <c r="AC97" s="16">
        <f>IFERROR(ROUND(AVERAGE(I97,M97,Q97,U97,Y97),1),"Erro")</f>
        <v>1</v>
      </c>
      <c r="AD97" s="14">
        <f>IFERROR(ROUND(AA97/AC97,1),"Erro")</f>
        <v>86.9</v>
      </c>
    </row>
    <row r="98" spans="2:30" outlineLevel="1" x14ac:dyDescent="0.25">
      <c r="B98" s="18" t="s">
        <v>14</v>
      </c>
      <c r="C98" s="18" t="s">
        <v>71</v>
      </c>
      <c r="D98" s="18" t="s">
        <v>72</v>
      </c>
      <c r="E98" s="47">
        <v>13</v>
      </c>
      <c r="F98" s="21" t="s">
        <v>94</v>
      </c>
      <c r="G98" s="13">
        <f>SUM(G99:G99)</f>
        <v>0</v>
      </c>
      <c r="H98" s="12">
        <f>H99</f>
        <v>0</v>
      </c>
      <c r="I98" s="12">
        <f>IFERROR(ROUND(AVERAGE(I99:I99),0),"-")</f>
        <v>1</v>
      </c>
      <c r="J98" s="35">
        <f>IFERROR(ROUND(AVERAGE(J99:J99),0),"-")</f>
        <v>1</v>
      </c>
      <c r="K98" s="13">
        <f>SUM(K99:K99)</f>
        <v>0</v>
      </c>
      <c r="L98" s="12">
        <f>L99</f>
        <v>0</v>
      </c>
      <c r="M98" s="35" t="str">
        <f>IFERROR(ROUND(AVERAGE(M99:M99),0),"-")</f>
        <v>-</v>
      </c>
      <c r="N98" s="35">
        <f>IFERROR(ROUND(AVERAGE(N99:N99),0),"-")</f>
        <v>1</v>
      </c>
      <c r="O98" s="13">
        <f>SUM(O99:O99)</f>
        <v>0</v>
      </c>
      <c r="P98" s="12">
        <f>P99</f>
        <v>0</v>
      </c>
      <c r="Q98" s="12" t="str">
        <f>IFERROR(ROUND(AVERAGE(Q99:Q99),0),"-")</f>
        <v>-</v>
      </c>
      <c r="R98" s="35">
        <f>IFERROR(ROUND(AVERAGE(R99:R99),0),"-")</f>
        <v>1</v>
      </c>
      <c r="S98" s="13">
        <f>SUM(S99:S99)</f>
        <v>0</v>
      </c>
      <c r="T98" s="12">
        <f>T99</f>
        <v>0</v>
      </c>
      <c r="U98" s="35" t="str">
        <f>IFERROR(ROUND(AVERAGE(U99:U99),0),"-")</f>
        <v>-</v>
      </c>
      <c r="V98" s="35">
        <f>IFERROR(ROUND(AVERAGE(V99:V99),0),"-")</f>
        <v>1</v>
      </c>
      <c r="W98" s="13">
        <f>SUM(W99:W99)</f>
        <v>0</v>
      </c>
      <c r="X98" s="12">
        <f>X99</f>
        <v>0</v>
      </c>
      <c r="Y98" s="12" t="str">
        <f>IFERROR(ROUND(AVERAGE(Y99:Y99),0),"-")</f>
        <v>-</v>
      </c>
      <c r="Z98" s="35">
        <f>IFERROR(ROUND(AVERAGE(Z99:Z99),0),"-")</f>
        <v>1</v>
      </c>
      <c r="AA98" s="15">
        <f>SUM(AA99:AA99)</f>
        <v>0</v>
      </c>
      <c r="AB98" s="12">
        <f>AB99</f>
        <v>0</v>
      </c>
      <c r="AC98" s="12" t="str">
        <f>IFERROR(ROUND(AVERAGE(AC99:AC99),0),"-")</f>
        <v>-</v>
      </c>
      <c r="AD98" s="15">
        <f>SUM(AD99:AD99)</f>
        <v>0</v>
      </c>
    </row>
    <row r="99" spans="2:30" outlineLevel="2" x14ac:dyDescent="0.25">
      <c r="B99" s="18" t="s">
        <v>14</v>
      </c>
      <c r="C99" s="18" t="s">
        <v>71</v>
      </c>
      <c r="D99" s="18" t="s">
        <v>72</v>
      </c>
      <c r="E99" s="47" t="s">
        <v>208</v>
      </c>
      <c r="F99" s="20"/>
      <c r="G99" s="23"/>
      <c r="H99" s="24"/>
      <c r="I99" s="24">
        <v>1</v>
      </c>
      <c r="J99" s="38">
        <v>1</v>
      </c>
      <c r="K99" s="23"/>
      <c r="L99" s="24"/>
      <c r="M99" s="24"/>
      <c r="N99" s="38">
        <v>1</v>
      </c>
      <c r="O99" s="23"/>
      <c r="P99" s="24"/>
      <c r="Q99" s="24"/>
      <c r="R99" s="38">
        <v>1</v>
      </c>
      <c r="S99" s="23"/>
      <c r="T99" s="24"/>
      <c r="U99" s="24"/>
      <c r="V99" s="38">
        <v>1</v>
      </c>
      <c r="W99" s="23"/>
      <c r="X99" s="24"/>
      <c r="Y99" s="24"/>
      <c r="Z99" s="38">
        <v>1</v>
      </c>
      <c r="AA99" s="16"/>
      <c r="AB99" s="16"/>
      <c r="AC99" s="16"/>
      <c r="AD99" s="14"/>
    </row>
    <row r="100" spans="2:30" outlineLevel="1" x14ac:dyDescent="0.25">
      <c r="B100" s="18" t="s">
        <v>14</v>
      </c>
      <c r="C100" s="18" t="s">
        <v>71</v>
      </c>
      <c r="D100" s="18" t="s">
        <v>72</v>
      </c>
      <c r="E100" s="47">
        <v>14</v>
      </c>
      <c r="F100" s="21" t="s">
        <v>95</v>
      </c>
      <c r="G100" s="13">
        <f>SUM(G101:G102)</f>
        <v>10.76</v>
      </c>
      <c r="H100" s="12" t="str">
        <f>H101</f>
        <v>CARRO</v>
      </c>
      <c r="I100" s="12">
        <f>IFERROR(ROUND(AVERAGE(I101:I104),0),"-")</f>
        <v>1</v>
      </c>
      <c r="J100" s="35">
        <f>IFERROR(ROUND(AVERAGE(J101:J104),0),"-")</f>
        <v>1</v>
      </c>
      <c r="K100" s="13">
        <f>SUM(K101:K102)</f>
        <v>13.55</v>
      </c>
      <c r="L100" s="35" t="str">
        <f>L101</f>
        <v>CARRO</v>
      </c>
      <c r="M100" s="35">
        <f>IFERROR(ROUND(AVERAGE(M101:M104),0),"-")</f>
        <v>1</v>
      </c>
      <c r="N100" s="35">
        <f>IFERROR(ROUND(AVERAGE(N101:N104),0),"-")</f>
        <v>1</v>
      </c>
      <c r="O100" s="30">
        <f>SUM(O101:O102)</f>
        <v>13.469999999999999</v>
      </c>
      <c r="P100" s="35" t="str">
        <f>P101</f>
        <v>CARRO</v>
      </c>
      <c r="Q100" s="35">
        <f>IFERROR(ROUND(AVERAGE(Q101:Q104),0),"-")</f>
        <v>1</v>
      </c>
      <c r="R100" s="35">
        <f>IFERROR(ROUND(AVERAGE(R101:R104),0),"-")</f>
        <v>1</v>
      </c>
      <c r="S100" s="13">
        <f>SUM(S101:S102)</f>
        <v>13.55</v>
      </c>
      <c r="T100" s="35" t="str">
        <f>T101</f>
        <v>CARRO</v>
      </c>
      <c r="U100" s="35">
        <f>IFERROR(ROUND(AVERAGE(U101:U104),0),"-")</f>
        <v>1</v>
      </c>
      <c r="V100" s="35">
        <f>IFERROR(ROUND(AVERAGE(V101:V104),0),"-")</f>
        <v>1</v>
      </c>
      <c r="W100" s="30">
        <f>SUM(W101:W102)</f>
        <v>13.469999999999999</v>
      </c>
      <c r="X100" s="35" t="str">
        <f>X101</f>
        <v>CARRO</v>
      </c>
      <c r="Y100" s="35">
        <f>IFERROR(ROUND(AVERAGE(Y101:Y104),0),"-")</f>
        <v>1</v>
      </c>
      <c r="Z100" s="35">
        <f>IFERROR(ROUND(AVERAGE(Z101:Z104),0),"-")</f>
        <v>1</v>
      </c>
      <c r="AA100" s="30">
        <f>SUM(AA101:AA102)</f>
        <v>12.9</v>
      </c>
      <c r="AB100" s="12" t="str">
        <f>AB101</f>
        <v>CARRO</v>
      </c>
      <c r="AC100" s="12">
        <f>IFERROR(ROUND(AVERAGE(AC101:AC104),0),"-")</f>
        <v>1</v>
      </c>
      <c r="AD100" s="30">
        <f>SUM(AD101:AD102)</f>
        <v>12.9</v>
      </c>
    </row>
    <row r="101" spans="2:30" outlineLevel="2" x14ac:dyDescent="0.25">
      <c r="B101" s="18" t="s">
        <v>14</v>
      </c>
      <c r="C101" s="18" t="s">
        <v>71</v>
      </c>
      <c r="D101" s="18" t="s">
        <v>72</v>
      </c>
      <c r="E101" s="47" t="s">
        <v>209</v>
      </c>
      <c r="F101" s="41" t="s">
        <v>96</v>
      </c>
      <c r="G101" s="23">
        <v>6.66</v>
      </c>
      <c r="H101" s="24" t="s">
        <v>92</v>
      </c>
      <c r="I101" s="24">
        <v>1</v>
      </c>
      <c r="J101" s="38">
        <v>1</v>
      </c>
      <c r="K101" s="23">
        <v>7.95</v>
      </c>
      <c r="L101" s="38" t="s">
        <v>92</v>
      </c>
      <c r="M101" s="38">
        <v>1</v>
      </c>
      <c r="N101" s="38">
        <v>1</v>
      </c>
      <c r="O101" s="37">
        <v>7.25</v>
      </c>
      <c r="P101" s="38" t="s">
        <v>92</v>
      </c>
      <c r="Q101" s="38">
        <v>1</v>
      </c>
      <c r="R101" s="38">
        <v>1</v>
      </c>
      <c r="S101" s="23">
        <v>7.95</v>
      </c>
      <c r="T101" s="38" t="s">
        <v>92</v>
      </c>
      <c r="U101" s="38">
        <v>1</v>
      </c>
      <c r="V101" s="38">
        <v>1</v>
      </c>
      <c r="W101" s="37">
        <v>7.25</v>
      </c>
      <c r="X101" s="38" t="s">
        <v>92</v>
      </c>
      <c r="Y101" s="38">
        <v>1</v>
      </c>
      <c r="Z101" s="38">
        <v>1</v>
      </c>
      <c r="AA101" s="16">
        <f>IFERROR(ROUND(AVERAGE(G101,K101,O101,S101,W101),1),"Erro")</f>
        <v>7.4</v>
      </c>
      <c r="AB101" s="16" t="str">
        <f>H101</f>
        <v>CARRO</v>
      </c>
      <c r="AC101" s="16">
        <f>IFERROR(ROUND(AVERAGE(I101,M101,Q101,U101,Y101),1),"Erro")</f>
        <v>1</v>
      </c>
      <c r="AD101" s="14">
        <f>IFERROR(ROUND(AA101/AC101,1),"Erro")</f>
        <v>7.4</v>
      </c>
    </row>
    <row r="102" spans="2:30" outlineLevel="2" x14ac:dyDescent="0.25">
      <c r="B102" s="18" t="s">
        <v>14</v>
      </c>
      <c r="C102" s="18" t="s">
        <v>71</v>
      </c>
      <c r="D102" s="18" t="s">
        <v>72</v>
      </c>
      <c r="E102" s="47" t="s">
        <v>210</v>
      </c>
      <c r="F102" s="41" t="s">
        <v>89</v>
      </c>
      <c r="G102" s="23">
        <v>4.0999999999999996</v>
      </c>
      <c r="H102" s="24" t="s">
        <v>92</v>
      </c>
      <c r="I102" s="24">
        <v>1</v>
      </c>
      <c r="J102" s="38">
        <v>1</v>
      </c>
      <c r="K102" s="23">
        <v>5.6</v>
      </c>
      <c r="L102" s="38" t="s">
        <v>92</v>
      </c>
      <c r="M102" s="38">
        <v>1</v>
      </c>
      <c r="N102" s="38">
        <v>1</v>
      </c>
      <c r="O102" s="37">
        <v>6.22</v>
      </c>
      <c r="P102" s="38" t="s">
        <v>92</v>
      </c>
      <c r="Q102" s="38">
        <v>1</v>
      </c>
      <c r="R102" s="38">
        <v>1</v>
      </c>
      <c r="S102" s="23">
        <v>5.6</v>
      </c>
      <c r="T102" s="38" t="s">
        <v>92</v>
      </c>
      <c r="U102" s="38">
        <v>1</v>
      </c>
      <c r="V102" s="38">
        <v>1</v>
      </c>
      <c r="W102" s="37">
        <v>6.22</v>
      </c>
      <c r="X102" s="38" t="s">
        <v>92</v>
      </c>
      <c r="Y102" s="38">
        <v>1</v>
      </c>
      <c r="Z102" s="38">
        <v>1</v>
      </c>
      <c r="AA102" s="16">
        <f>IFERROR(ROUND(AVERAGE(G102,K102,O102,S102,W102),1),"Erro")</f>
        <v>5.5</v>
      </c>
      <c r="AB102" s="16" t="str">
        <f>H102</f>
        <v>CARRO</v>
      </c>
      <c r="AC102" s="16">
        <f>IFERROR(ROUND(AVERAGE(I102,M102,Q102,U102,Y102),1),"Erro")</f>
        <v>1</v>
      </c>
      <c r="AD102" s="14">
        <f>IFERROR(ROUND(AA102/AC102,1),"Erro")</f>
        <v>5.5</v>
      </c>
    </row>
    <row r="103" spans="2:30" outlineLevel="1" x14ac:dyDescent="0.25">
      <c r="B103" s="18" t="s">
        <v>14</v>
      </c>
      <c r="C103" s="18" t="s">
        <v>71</v>
      </c>
      <c r="D103" s="18" t="s">
        <v>72</v>
      </c>
      <c r="E103" s="47">
        <v>15</v>
      </c>
      <c r="F103" s="21" t="s">
        <v>97</v>
      </c>
      <c r="G103" s="13">
        <f>SUM(G104:G107)</f>
        <v>40.99</v>
      </c>
      <c r="H103" s="12" t="str">
        <f>H104</f>
        <v>KD</v>
      </c>
      <c r="I103" s="12">
        <f>IFERROR(ROUND(AVERAGE(I104:I107),0),"-")</f>
        <v>1</v>
      </c>
      <c r="J103" s="35">
        <f>IFERROR(ROUND(AVERAGE(J104:J107),0),"-")</f>
        <v>1</v>
      </c>
      <c r="K103" s="13">
        <f>SUM(K104:K107)</f>
        <v>45.88</v>
      </c>
      <c r="L103" s="35" t="str">
        <f>L104</f>
        <v>KD</v>
      </c>
      <c r="M103" s="35">
        <f>IFERROR(ROUND(AVERAGE(M104:M107),0),"-")</f>
        <v>1</v>
      </c>
      <c r="N103" s="35">
        <f>IFERROR(ROUND(AVERAGE(N104:N107),0),"-")</f>
        <v>1</v>
      </c>
      <c r="O103" s="30">
        <f>SUM(O104:O107)</f>
        <v>52.010000000000005</v>
      </c>
      <c r="P103" s="35" t="str">
        <f>P104</f>
        <v>KD</v>
      </c>
      <c r="Q103" s="35">
        <f>IFERROR(ROUND(AVERAGE(Q104:Q107),0),"-")</f>
        <v>1</v>
      </c>
      <c r="R103" s="35">
        <f>IFERROR(ROUND(AVERAGE(R104:R107),0),"-")</f>
        <v>1</v>
      </c>
      <c r="S103" s="13">
        <f>SUM(S104:S107)</f>
        <v>45.88</v>
      </c>
      <c r="T103" s="35" t="str">
        <f>T104</f>
        <v>KD</v>
      </c>
      <c r="U103" s="35">
        <f>IFERROR(ROUND(AVERAGE(U104:U107),0),"-")</f>
        <v>1</v>
      </c>
      <c r="V103" s="35">
        <f>IFERROR(ROUND(AVERAGE(V104:V107),0),"-")</f>
        <v>1</v>
      </c>
      <c r="W103" s="30">
        <f>SUM(W104:W107)</f>
        <v>52.010000000000005</v>
      </c>
      <c r="X103" s="35" t="str">
        <f>X104</f>
        <v>KD</v>
      </c>
      <c r="Y103" s="35">
        <f>IFERROR(ROUND(AVERAGE(Y104:Y107),0),"-")</f>
        <v>1</v>
      </c>
      <c r="Z103" s="35">
        <f>IFERROR(ROUND(AVERAGE(Z104:Z107),0),"-")</f>
        <v>1</v>
      </c>
      <c r="AA103" s="30">
        <f>SUM(AA104:AA107)</f>
        <v>47.3</v>
      </c>
      <c r="AB103" s="12" t="str">
        <f>AB104</f>
        <v>KD</v>
      </c>
      <c r="AC103" s="12">
        <f>IFERROR(ROUND(AVERAGE(AC104:AC107),0),"-")</f>
        <v>1</v>
      </c>
      <c r="AD103" s="30">
        <f>SUM(AD104:AD107)</f>
        <v>47.3</v>
      </c>
    </row>
    <row r="104" spans="2:30" outlineLevel="2" x14ac:dyDescent="0.25">
      <c r="B104" s="18" t="s">
        <v>14</v>
      </c>
      <c r="C104" s="18" t="s">
        <v>71</v>
      </c>
      <c r="D104" s="18" t="s">
        <v>72</v>
      </c>
      <c r="E104" s="47" t="s">
        <v>211</v>
      </c>
      <c r="F104" s="4" t="s">
        <v>98</v>
      </c>
      <c r="G104" s="23">
        <v>2.34</v>
      </c>
      <c r="H104" s="24" t="s">
        <v>20</v>
      </c>
      <c r="I104" s="24">
        <v>1</v>
      </c>
      <c r="J104" s="38">
        <v>1</v>
      </c>
      <c r="K104" s="23">
        <v>3.14</v>
      </c>
      <c r="L104" s="38" t="s">
        <v>20</v>
      </c>
      <c r="M104" s="38">
        <v>1</v>
      </c>
      <c r="N104" s="38">
        <v>1</v>
      </c>
      <c r="O104" s="37">
        <v>4.25</v>
      </c>
      <c r="P104" s="38" t="s">
        <v>20</v>
      </c>
      <c r="Q104" s="38">
        <v>1</v>
      </c>
      <c r="R104" s="38">
        <v>1</v>
      </c>
      <c r="S104" s="23">
        <v>3.14</v>
      </c>
      <c r="T104" s="38" t="s">
        <v>20</v>
      </c>
      <c r="U104" s="38">
        <v>1</v>
      </c>
      <c r="V104" s="38">
        <v>1</v>
      </c>
      <c r="W104" s="37">
        <v>4.25</v>
      </c>
      <c r="X104" s="38" t="s">
        <v>20</v>
      </c>
      <c r="Y104" s="38">
        <v>1</v>
      </c>
      <c r="Z104" s="38">
        <v>1</v>
      </c>
      <c r="AA104" s="16">
        <f>IFERROR(ROUND(AVERAGE(G104,K104,O104,S104,W104),1),"Erro")</f>
        <v>3.4</v>
      </c>
      <c r="AB104" s="16" t="str">
        <f>H104</f>
        <v>KD</v>
      </c>
      <c r="AC104" s="16">
        <f>IFERROR(ROUND(AVERAGE(I104,M104,Q104,U104,Y104),1),"Erro")</f>
        <v>1</v>
      </c>
      <c r="AD104" s="14">
        <f t="shared" ref="AD104:AD107" si="16">IFERROR(ROUND(AA104/AC104,1),"Erro")</f>
        <v>3.4</v>
      </c>
    </row>
    <row r="105" spans="2:30" outlineLevel="2" x14ac:dyDescent="0.25">
      <c r="B105" s="18" t="s">
        <v>14</v>
      </c>
      <c r="C105" s="18" t="s">
        <v>71</v>
      </c>
      <c r="D105" s="18" t="s">
        <v>72</v>
      </c>
      <c r="E105" s="47" t="s">
        <v>212</v>
      </c>
      <c r="F105" s="4" t="s">
        <v>99</v>
      </c>
      <c r="G105" s="23">
        <v>32.21</v>
      </c>
      <c r="H105" s="24" t="s">
        <v>20</v>
      </c>
      <c r="I105" s="24">
        <v>1</v>
      </c>
      <c r="J105" s="38">
        <v>1</v>
      </c>
      <c r="K105" s="23">
        <v>35.74</v>
      </c>
      <c r="L105" s="38" t="s">
        <v>20</v>
      </c>
      <c r="M105" s="38">
        <v>1</v>
      </c>
      <c r="N105" s="38">
        <v>1</v>
      </c>
      <c r="O105" s="37">
        <v>40.78</v>
      </c>
      <c r="P105" s="38" t="s">
        <v>20</v>
      </c>
      <c r="Q105" s="38">
        <v>1</v>
      </c>
      <c r="R105" s="38">
        <v>1</v>
      </c>
      <c r="S105" s="23">
        <v>35.74</v>
      </c>
      <c r="T105" s="38" t="s">
        <v>20</v>
      </c>
      <c r="U105" s="38">
        <v>1</v>
      </c>
      <c r="V105" s="38">
        <v>1</v>
      </c>
      <c r="W105" s="37">
        <v>40.78</v>
      </c>
      <c r="X105" s="38" t="s">
        <v>20</v>
      </c>
      <c r="Y105" s="38">
        <v>1</v>
      </c>
      <c r="Z105" s="38">
        <v>1</v>
      </c>
      <c r="AA105" s="16">
        <f>IFERROR(ROUND(AVERAGE(G105,K105,O105,S105,W105),1),"Erro")</f>
        <v>37.1</v>
      </c>
      <c r="AB105" s="16" t="str">
        <f>H105</f>
        <v>KD</v>
      </c>
      <c r="AC105" s="16">
        <f>IFERROR(ROUND(AVERAGE(I105,M105,Q105,U105,Y105),1),"Erro")</f>
        <v>1</v>
      </c>
      <c r="AD105" s="14">
        <f t="shared" si="16"/>
        <v>37.1</v>
      </c>
    </row>
    <row r="106" spans="2:30" outlineLevel="2" x14ac:dyDescent="0.25">
      <c r="B106" s="18" t="s">
        <v>14</v>
      </c>
      <c r="C106" s="18" t="s">
        <v>71</v>
      </c>
      <c r="D106" s="18" t="s">
        <v>72</v>
      </c>
      <c r="E106" s="47" t="s">
        <v>213</v>
      </c>
      <c r="F106" s="4" t="s">
        <v>100</v>
      </c>
      <c r="G106" s="23">
        <v>3.38</v>
      </c>
      <c r="H106" s="24" t="s">
        <v>20</v>
      </c>
      <c r="I106" s="24">
        <v>1</v>
      </c>
      <c r="J106" s="38">
        <v>1</v>
      </c>
      <c r="K106" s="23">
        <v>2.8</v>
      </c>
      <c r="L106" s="38" t="s">
        <v>20</v>
      </c>
      <c r="M106" s="38">
        <v>1</v>
      </c>
      <c r="N106" s="38">
        <v>1</v>
      </c>
      <c r="O106" s="37">
        <v>3.1</v>
      </c>
      <c r="P106" s="38" t="s">
        <v>20</v>
      </c>
      <c r="Q106" s="38">
        <v>1</v>
      </c>
      <c r="R106" s="38">
        <v>1</v>
      </c>
      <c r="S106" s="23">
        <v>2.8</v>
      </c>
      <c r="T106" s="38" t="s">
        <v>20</v>
      </c>
      <c r="U106" s="38">
        <v>1</v>
      </c>
      <c r="V106" s="38">
        <v>1</v>
      </c>
      <c r="W106" s="37">
        <v>3.1</v>
      </c>
      <c r="X106" s="38" t="s">
        <v>20</v>
      </c>
      <c r="Y106" s="38">
        <v>1</v>
      </c>
      <c r="Z106" s="38">
        <v>1</v>
      </c>
      <c r="AA106" s="16">
        <f>IFERROR(ROUND(AVERAGE(G106,K106,O106,S106,W106),1),"Erro")</f>
        <v>3</v>
      </c>
      <c r="AB106" s="16" t="str">
        <f>H106</f>
        <v>KD</v>
      </c>
      <c r="AC106" s="16">
        <f>IFERROR(ROUND(AVERAGE(I106,M106,Q106,U106,Y106),1),"Erro")</f>
        <v>1</v>
      </c>
      <c r="AD106" s="14">
        <f t="shared" si="16"/>
        <v>3</v>
      </c>
    </row>
    <row r="107" spans="2:30" outlineLevel="2" x14ac:dyDescent="0.25">
      <c r="B107" s="18" t="s">
        <v>14</v>
      </c>
      <c r="C107" s="18" t="s">
        <v>71</v>
      </c>
      <c r="D107" s="18" t="s">
        <v>72</v>
      </c>
      <c r="E107" s="47" t="s">
        <v>214</v>
      </c>
      <c r="F107" s="4" t="s">
        <v>89</v>
      </c>
      <c r="G107" s="23">
        <v>3.06</v>
      </c>
      <c r="H107" s="24" t="s">
        <v>20</v>
      </c>
      <c r="I107" s="24">
        <v>1</v>
      </c>
      <c r="J107" s="38">
        <v>1</v>
      </c>
      <c r="K107" s="23">
        <v>4.2</v>
      </c>
      <c r="L107" s="38" t="s">
        <v>20</v>
      </c>
      <c r="M107" s="38">
        <v>1</v>
      </c>
      <c r="N107" s="38">
        <v>1</v>
      </c>
      <c r="O107" s="37">
        <v>3.88</v>
      </c>
      <c r="P107" s="38" t="s">
        <v>20</v>
      </c>
      <c r="Q107" s="38">
        <v>1</v>
      </c>
      <c r="R107" s="38">
        <v>1</v>
      </c>
      <c r="S107" s="23">
        <v>4.2</v>
      </c>
      <c r="T107" s="38" t="s">
        <v>20</v>
      </c>
      <c r="U107" s="38">
        <v>1</v>
      </c>
      <c r="V107" s="38">
        <v>1</v>
      </c>
      <c r="W107" s="37">
        <v>3.88</v>
      </c>
      <c r="X107" s="38" t="s">
        <v>20</v>
      </c>
      <c r="Y107" s="38">
        <v>1</v>
      </c>
      <c r="Z107" s="38">
        <v>1</v>
      </c>
      <c r="AA107" s="16">
        <f>IFERROR(ROUND(AVERAGE(G107,K107,O107,S107,W107),1),"Erro")</f>
        <v>3.8</v>
      </c>
      <c r="AB107" s="16" t="str">
        <f>H107</f>
        <v>KD</v>
      </c>
      <c r="AC107" s="16">
        <f>IFERROR(ROUND(AVERAGE(I107,M107,Q107,U107,Y107),1),"Erro")</f>
        <v>1</v>
      </c>
      <c r="AD107" s="14">
        <f t="shared" si="16"/>
        <v>3.8</v>
      </c>
    </row>
    <row r="108" spans="2:30" outlineLevel="1" x14ac:dyDescent="0.25">
      <c r="B108" s="18" t="s">
        <v>14</v>
      </c>
      <c r="C108" s="18" t="s">
        <v>71</v>
      </c>
      <c r="D108" s="18" t="s">
        <v>72</v>
      </c>
      <c r="E108" s="47">
        <v>16</v>
      </c>
      <c r="F108" s="21" t="s">
        <v>101</v>
      </c>
      <c r="G108" s="13">
        <f>SUM(G109:G109)</f>
        <v>15.32</v>
      </c>
      <c r="H108" s="12" t="str">
        <f>H109</f>
        <v>KD</v>
      </c>
      <c r="I108" s="12">
        <f>IFERROR(ROUND(AVERAGE(I109:I109),0),"-")</f>
        <v>1</v>
      </c>
      <c r="J108" s="35">
        <f>IFERROR(ROUND(AVERAGE(J109:J109),0),"-")</f>
        <v>1</v>
      </c>
      <c r="K108" s="13">
        <f>SUM(K109:K109)</f>
        <v>14.25</v>
      </c>
      <c r="L108" s="12" t="str">
        <f>L109</f>
        <v>KD</v>
      </c>
      <c r="M108" s="12">
        <f>IFERROR(ROUND(AVERAGE(M109:M109),0),"-")</f>
        <v>1</v>
      </c>
      <c r="N108" s="35">
        <f>IFERROR(ROUND(AVERAGE(N109:N109),0),"-")</f>
        <v>1</v>
      </c>
      <c r="O108" s="13">
        <f>SUM(O109:O109)</f>
        <v>12.85</v>
      </c>
      <c r="P108" s="12" t="str">
        <f>P109</f>
        <v>KD</v>
      </c>
      <c r="Q108" s="12">
        <f>IFERROR(ROUND(AVERAGE(Q109:Q109),0),"-")</f>
        <v>1</v>
      </c>
      <c r="R108" s="35">
        <f>IFERROR(ROUND(AVERAGE(R109:R109),0),"-")</f>
        <v>1</v>
      </c>
      <c r="S108" s="13">
        <f>SUM(S109:S109)</f>
        <v>12.85</v>
      </c>
      <c r="T108" s="12" t="str">
        <f>T109</f>
        <v>KD</v>
      </c>
      <c r="U108" s="12">
        <f>IFERROR(ROUND(AVERAGE(U109:U109),0),"-")</f>
        <v>1</v>
      </c>
      <c r="V108" s="35">
        <f>IFERROR(ROUND(AVERAGE(V109:V109),0),"-")</f>
        <v>1</v>
      </c>
      <c r="W108" s="13">
        <f>SUM(W109:W109)</f>
        <v>15.32</v>
      </c>
      <c r="X108" s="12" t="str">
        <f>X109</f>
        <v>KD</v>
      </c>
      <c r="Y108" s="12">
        <f>IFERROR(ROUND(AVERAGE(Y109:Y109),0),"-")</f>
        <v>1</v>
      </c>
      <c r="Z108" s="35">
        <f>IFERROR(ROUND(AVERAGE(Z109:Z109),0),"-")</f>
        <v>1</v>
      </c>
      <c r="AA108" s="15">
        <f>SUM(AA109:AA109)</f>
        <v>14.1</v>
      </c>
      <c r="AB108" s="12" t="str">
        <f>AB109</f>
        <v>KD</v>
      </c>
      <c r="AC108" s="12">
        <f>IFERROR(ROUND(AVERAGE(AC109:AC109),0),"-")</f>
        <v>1</v>
      </c>
      <c r="AD108" s="15">
        <f>SUM(AD109:AD109)</f>
        <v>14.1</v>
      </c>
    </row>
    <row r="109" spans="2:30" outlineLevel="2" x14ac:dyDescent="0.25">
      <c r="B109" s="18" t="s">
        <v>14</v>
      </c>
      <c r="C109" s="18" t="s">
        <v>71</v>
      </c>
      <c r="D109" s="18" t="s">
        <v>72</v>
      </c>
      <c r="E109" s="47" t="s">
        <v>215</v>
      </c>
      <c r="F109" s="4" t="s">
        <v>102</v>
      </c>
      <c r="G109" s="23">
        <v>15.32</v>
      </c>
      <c r="H109" s="24" t="s">
        <v>20</v>
      </c>
      <c r="I109" s="24">
        <v>1</v>
      </c>
      <c r="J109" s="38">
        <v>1</v>
      </c>
      <c r="K109" s="23">
        <v>14.25</v>
      </c>
      <c r="L109" s="24" t="s">
        <v>20</v>
      </c>
      <c r="M109" s="24">
        <v>1</v>
      </c>
      <c r="N109" s="38">
        <v>1</v>
      </c>
      <c r="O109" s="42">
        <v>12.85</v>
      </c>
      <c r="P109" s="24" t="s">
        <v>20</v>
      </c>
      <c r="Q109" s="24">
        <v>1</v>
      </c>
      <c r="R109" s="38">
        <v>1</v>
      </c>
      <c r="S109" s="42">
        <v>12.85</v>
      </c>
      <c r="T109" s="24" t="s">
        <v>20</v>
      </c>
      <c r="U109" s="24">
        <v>1</v>
      </c>
      <c r="V109" s="38">
        <v>1</v>
      </c>
      <c r="W109" s="23">
        <v>15.32</v>
      </c>
      <c r="X109" s="24" t="s">
        <v>20</v>
      </c>
      <c r="Y109" s="24">
        <v>1</v>
      </c>
      <c r="Z109" s="38">
        <v>1</v>
      </c>
      <c r="AA109" s="16">
        <f>IFERROR(ROUND(AVERAGE(G109,K109,O109,S109,W109),1),"Erro")</f>
        <v>14.1</v>
      </c>
      <c r="AB109" s="16" t="str">
        <f>H109</f>
        <v>KD</v>
      </c>
      <c r="AC109" s="16">
        <f>IFERROR(ROUND(AVERAGE(I109,M109,Q109,U109,Y109),1),"Erro")</f>
        <v>1</v>
      </c>
      <c r="AD109" s="14">
        <f>IFERROR(ROUND(AA109/AC109,1),"Erro")</f>
        <v>14.1</v>
      </c>
    </row>
    <row r="110" spans="2:30" x14ac:dyDescent="0.25">
      <c r="B110" s="18" t="s">
        <v>14</v>
      </c>
      <c r="C110" s="18" t="s">
        <v>71</v>
      </c>
      <c r="D110" s="18" t="s">
        <v>103</v>
      </c>
      <c r="E110" s="18">
        <v>17</v>
      </c>
      <c r="F110" s="18" t="s">
        <v>104</v>
      </c>
      <c r="G110" s="11">
        <f>G111+G120</f>
        <v>169.16</v>
      </c>
      <c r="H110" s="10"/>
      <c r="I110" s="10"/>
      <c r="J110" s="34"/>
      <c r="K110" s="11">
        <f>K111+K120</f>
        <v>160.97999999999999</v>
      </c>
      <c r="L110" s="10"/>
      <c r="M110" s="10"/>
      <c r="N110" s="34"/>
      <c r="O110" s="11">
        <f>O111+O120</f>
        <v>168.685</v>
      </c>
      <c r="P110" s="10"/>
      <c r="Q110" s="10"/>
      <c r="R110" s="34"/>
      <c r="S110" s="11">
        <f>S111+S120</f>
        <v>161.0925</v>
      </c>
      <c r="T110" s="10"/>
      <c r="U110" s="10"/>
      <c r="V110" s="34"/>
      <c r="W110" s="11">
        <f>W111+W120</f>
        <v>166.12625</v>
      </c>
      <c r="X110" s="10"/>
      <c r="Y110" s="10"/>
      <c r="Z110" s="34"/>
      <c r="AA110" s="33">
        <f>AA111+AA120</f>
        <v>166.9</v>
      </c>
      <c r="AB110" s="34"/>
      <c r="AC110" s="34"/>
      <c r="AD110" s="34" t="str">
        <f>IFERROR(AD111+AD120+#REF!+#REF!+#REF!+#REF!+#REF!+#REF!+#REF!,"-")</f>
        <v>-</v>
      </c>
    </row>
    <row r="111" spans="2:30" outlineLevel="1" x14ac:dyDescent="0.25">
      <c r="B111" s="18" t="s">
        <v>14</v>
      </c>
      <c r="C111" s="18" t="s">
        <v>71</v>
      </c>
      <c r="D111" s="18" t="s">
        <v>103</v>
      </c>
      <c r="E111" s="47" t="s">
        <v>216</v>
      </c>
      <c r="F111" s="21" t="s">
        <v>119</v>
      </c>
      <c r="G111" s="13">
        <f>SUM(G112:G119)</f>
        <v>92.75</v>
      </c>
      <c r="H111" s="12" t="s">
        <v>92</v>
      </c>
      <c r="I111" s="12">
        <f>IFERROR(ROUND(AVERAGE(I112:I119),0),"-")</f>
        <v>1</v>
      </c>
      <c r="J111" s="35">
        <f>IFERROR(ROUND(AVERAGE(J112:J119),0),"-")</f>
        <v>1</v>
      </c>
      <c r="K111" s="13">
        <f>SUM(K113:K119)</f>
        <v>84.22999999999999</v>
      </c>
      <c r="L111" s="12" t="s">
        <v>92</v>
      </c>
      <c r="M111" s="12">
        <f>IFERROR(ROUND(AVERAGE(M112:M119),0),"-")</f>
        <v>1</v>
      </c>
      <c r="N111" s="35">
        <f>IFERROR(ROUND(AVERAGE(N112:N119),0),"-")</f>
        <v>1</v>
      </c>
      <c r="O111" s="13">
        <f>SUM(O112:O119)</f>
        <v>92.105000000000004</v>
      </c>
      <c r="P111" s="12" t="s">
        <v>92</v>
      </c>
      <c r="Q111" s="12">
        <f>IFERROR(ROUND(AVERAGE(Q112:Q119),0),"-")</f>
        <v>1</v>
      </c>
      <c r="R111" s="35">
        <f>IFERROR(ROUND(AVERAGE(R112:R119),0),"-")</f>
        <v>1</v>
      </c>
      <c r="S111" s="13">
        <f>SUM(S112:S119)</f>
        <v>87.427500000000009</v>
      </c>
      <c r="T111" s="12" t="s">
        <v>92</v>
      </c>
      <c r="U111" s="12">
        <f>IFERROR(ROUND(AVERAGE(U112:U119),0),"-")</f>
        <v>1</v>
      </c>
      <c r="V111" s="35">
        <f>IFERROR(ROUND(AVERAGE(V112:V119),0),"-")</f>
        <v>1</v>
      </c>
      <c r="W111" s="13">
        <f>SUM(W112:W119)</f>
        <v>89.588750000000005</v>
      </c>
      <c r="X111" s="12" t="s">
        <v>92</v>
      </c>
      <c r="Y111" s="12">
        <f>IFERROR(ROUND(AVERAGE(Y112:Y119),0),"-")</f>
        <v>1</v>
      </c>
      <c r="Z111" s="35">
        <f>IFERROR(ROUND(AVERAGE(Z112:Z119),0),"-")</f>
        <v>1</v>
      </c>
      <c r="AA111" s="30">
        <f>SUM(AA112:AA119)</f>
        <v>91</v>
      </c>
      <c r="AB111" s="35" t="str">
        <f>AB112</f>
        <v>CARRO</v>
      </c>
      <c r="AC111" s="35">
        <f>IFERROR(ROUND(AVERAGE(AC112:AC119),0),"-")</f>
        <v>1</v>
      </c>
      <c r="AD111" s="36">
        <f>SUM(AD112:AD119)</f>
        <v>91</v>
      </c>
    </row>
    <row r="112" spans="2:30" outlineLevel="2" x14ac:dyDescent="0.45">
      <c r="B112" s="18" t="s">
        <v>14</v>
      </c>
      <c r="C112" s="18" t="s">
        <v>71</v>
      </c>
      <c r="D112" s="18" t="s">
        <v>103</v>
      </c>
      <c r="E112" s="47" t="s">
        <v>217</v>
      </c>
      <c r="F112" s="31" t="s">
        <v>120</v>
      </c>
      <c r="G112" s="23">
        <v>8.57</v>
      </c>
      <c r="H112" s="24" t="s">
        <v>92</v>
      </c>
      <c r="I112" s="24">
        <v>1</v>
      </c>
      <c r="J112" s="38">
        <v>1</v>
      </c>
      <c r="K112" s="23">
        <v>7.23</v>
      </c>
      <c r="L112" s="24" t="s">
        <v>92</v>
      </c>
      <c r="M112" s="24">
        <v>1</v>
      </c>
      <c r="N112" s="38">
        <v>1</v>
      </c>
      <c r="O112" s="23">
        <v>7.9</v>
      </c>
      <c r="P112" s="24" t="s">
        <v>92</v>
      </c>
      <c r="Q112" s="24">
        <v>1</v>
      </c>
      <c r="R112" s="38">
        <v>1</v>
      </c>
      <c r="S112" s="23">
        <v>8.2349999999999994</v>
      </c>
      <c r="T112" s="24" t="s">
        <v>92</v>
      </c>
      <c r="U112" s="24">
        <v>1</v>
      </c>
      <c r="V112" s="38">
        <v>1</v>
      </c>
      <c r="W112" s="23">
        <v>8.4024999999999999</v>
      </c>
      <c r="X112" s="24" t="s">
        <v>92</v>
      </c>
      <c r="Y112" s="24">
        <v>1</v>
      </c>
      <c r="Z112" s="38">
        <v>1</v>
      </c>
      <c r="AA112" s="23">
        <f>IFERROR(ROUND(AVERAGE(G112,K113,O112,S112,W112),1),"Erro")</f>
        <v>8.4</v>
      </c>
      <c r="AB112" s="24" t="str">
        <f>H112</f>
        <v>CARRO</v>
      </c>
      <c r="AC112" s="24">
        <f>IFERROR(ROUND(AVERAGE(I112,M112,Q112,U112,Y112),1),"Erro")</f>
        <v>1</v>
      </c>
      <c r="AD112" s="14">
        <f t="shared" ref="AD112:AD119" si="17">IFERROR(ROUND(AA112/AC112,1),"Erro")</f>
        <v>8.4</v>
      </c>
    </row>
    <row r="113" spans="2:30" outlineLevel="2" x14ac:dyDescent="0.45">
      <c r="B113" s="18" t="s">
        <v>14</v>
      </c>
      <c r="C113" s="18" t="s">
        <v>71</v>
      </c>
      <c r="D113" s="18" t="s">
        <v>103</v>
      </c>
      <c r="E113" s="47" t="s">
        <v>218</v>
      </c>
      <c r="F113" s="31" t="s">
        <v>105</v>
      </c>
      <c r="G113" s="23">
        <v>8.5</v>
      </c>
      <c r="H113" s="24" t="s">
        <v>92</v>
      </c>
      <c r="I113" s="24">
        <v>1</v>
      </c>
      <c r="J113" s="38">
        <v>1</v>
      </c>
      <c r="K113" s="23">
        <v>8.9</v>
      </c>
      <c r="L113" s="24" t="s">
        <v>92</v>
      </c>
      <c r="M113" s="24">
        <v>1</v>
      </c>
      <c r="N113" s="38">
        <v>1</v>
      </c>
      <c r="O113" s="23">
        <v>8.6999999999999993</v>
      </c>
      <c r="P113" s="24" t="s">
        <v>92</v>
      </c>
      <c r="Q113" s="24">
        <v>1</v>
      </c>
      <c r="R113" s="38">
        <v>1</v>
      </c>
      <c r="S113" s="23">
        <v>8.6</v>
      </c>
      <c r="T113" s="24" t="s">
        <v>92</v>
      </c>
      <c r="U113" s="24">
        <v>1</v>
      </c>
      <c r="V113" s="38">
        <v>1</v>
      </c>
      <c r="W113" s="23">
        <v>8.5500000000000007</v>
      </c>
      <c r="X113" s="24" t="s">
        <v>92</v>
      </c>
      <c r="Y113" s="24">
        <v>1</v>
      </c>
      <c r="Z113" s="38">
        <v>1</v>
      </c>
      <c r="AA113" s="23">
        <f>IFERROR(ROUND(AVERAGE(G113,O113,S113,W113),1),"Erro")</f>
        <v>8.6</v>
      </c>
      <c r="AB113" s="24" t="str">
        <f>H113</f>
        <v>CARRO</v>
      </c>
      <c r="AC113" s="24">
        <f>IFERROR(ROUND(AVERAGE(I113,M113,Q113,U113,Y113),1),"Erro")</f>
        <v>1</v>
      </c>
      <c r="AD113" s="14">
        <f t="shared" si="17"/>
        <v>8.6</v>
      </c>
    </row>
    <row r="114" spans="2:30" outlineLevel="2" x14ac:dyDescent="0.45">
      <c r="B114" s="18" t="s">
        <v>14</v>
      </c>
      <c r="C114" s="18" t="s">
        <v>71</v>
      </c>
      <c r="D114" s="18" t="s">
        <v>103</v>
      </c>
      <c r="E114" s="47" t="s">
        <v>219</v>
      </c>
      <c r="F114" s="31" t="s">
        <v>124</v>
      </c>
      <c r="G114" s="23">
        <v>7.16</v>
      </c>
      <c r="H114" s="24" t="s">
        <v>92</v>
      </c>
      <c r="I114" s="24">
        <v>1</v>
      </c>
      <c r="J114" s="38">
        <v>1</v>
      </c>
      <c r="K114" s="23">
        <v>6.9</v>
      </c>
      <c r="L114" s="24" t="s">
        <v>92</v>
      </c>
      <c r="M114" s="24">
        <v>1</v>
      </c>
      <c r="N114" s="38">
        <v>1</v>
      </c>
      <c r="O114" s="23">
        <v>7.03</v>
      </c>
      <c r="P114" s="24" t="s">
        <v>92</v>
      </c>
      <c r="Q114" s="24">
        <v>1</v>
      </c>
      <c r="R114" s="38">
        <v>1</v>
      </c>
      <c r="S114" s="23">
        <v>7.0950000000000006</v>
      </c>
      <c r="T114" s="24" t="s">
        <v>92</v>
      </c>
      <c r="U114" s="24">
        <v>1</v>
      </c>
      <c r="V114" s="38">
        <v>1</v>
      </c>
      <c r="W114" s="23">
        <v>7.1275000000000004</v>
      </c>
      <c r="X114" s="24" t="s">
        <v>92</v>
      </c>
      <c r="Y114" s="24">
        <v>1</v>
      </c>
      <c r="Z114" s="38">
        <v>1</v>
      </c>
      <c r="AA114" s="23">
        <f>IFERROR(ROUND(AVERAGE(G114,K114,O114,S114,W114),1),"Erro")</f>
        <v>7.1</v>
      </c>
      <c r="AB114" s="24" t="str">
        <f>H114</f>
        <v>CARRO</v>
      </c>
      <c r="AC114" s="24">
        <f>IFERROR(ROUND(AVERAGE(I114,M114,Q114,U114,Y114),1),"Erro")</f>
        <v>1</v>
      </c>
      <c r="AD114" s="14">
        <f t="shared" si="17"/>
        <v>7.1</v>
      </c>
    </row>
    <row r="115" spans="2:30" outlineLevel="2" x14ac:dyDescent="0.45">
      <c r="B115" s="18" t="s">
        <v>14</v>
      </c>
      <c r="C115" s="18" t="s">
        <v>71</v>
      </c>
      <c r="D115" s="18" t="s">
        <v>103</v>
      </c>
      <c r="E115" s="47" t="s">
        <v>220</v>
      </c>
      <c r="F115" s="31" t="s">
        <v>106</v>
      </c>
      <c r="G115" s="23">
        <v>4.3499999999999996</v>
      </c>
      <c r="H115" s="24" t="s">
        <v>92</v>
      </c>
      <c r="I115" s="24">
        <v>1</v>
      </c>
      <c r="J115" s="38">
        <v>1</v>
      </c>
      <c r="K115" s="23">
        <v>5.2</v>
      </c>
      <c r="L115" s="24" t="s">
        <v>92</v>
      </c>
      <c r="M115" s="24">
        <v>1</v>
      </c>
      <c r="N115" s="38">
        <v>1</v>
      </c>
      <c r="O115" s="23">
        <v>4.7750000000000004</v>
      </c>
      <c r="P115" s="24" t="s">
        <v>92</v>
      </c>
      <c r="Q115" s="24">
        <v>1</v>
      </c>
      <c r="R115" s="38">
        <v>1</v>
      </c>
      <c r="S115" s="23">
        <v>4.5625</v>
      </c>
      <c r="T115" s="24" t="s">
        <v>92</v>
      </c>
      <c r="U115" s="24">
        <v>1</v>
      </c>
      <c r="V115" s="38">
        <v>1</v>
      </c>
      <c r="W115" s="23">
        <v>4.4562499999999998</v>
      </c>
      <c r="X115" s="24" t="s">
        <v>92</v>
      </c>
      <c r="Y115" s="24">
        <v>1</v>
      </c>
      <c r="Z115" s="38">
        <v>1</v>
      </c>
      <c r="AA115" s="37">
        <f>IFERROR(ROUND(AVERAGE(G115,K115,O115,S115,W115),1),"Erro")</f>
        <v>4.7</v>
      </c>
      <c r="AB115" s="38" t="str">
        <f>H115</f>
        <v>CARRO</v>
      </c>
      <c r="AC115" s="38">
        <f>IFERROR(ROUND(AVERAGE(I115,M115,Q115,U115,Y115),1),"Erro")</f>
        <v>1</v>
      </c>
      <c r="AD115" s="39">
        <f t="shared" si="17"/>
        <v>4.7</v>
      </c>
    </row>
    <row r="116" spans="2:30" outlineLevel="2" x14ac:dyDescent="0.45">
      <c r="B116" s="18" t="s">
        <v>14</v>
      </c>
      <c r="C116" s="18" t="s">
        <v>71</v>
      </c>
      <c r="D116" s="18" t="s">
        <v>103</v>
      </c>
      <c r="E116" s="47" t="s">
        <v>221</v>
      </c>
      <c r="F116" s="31" t="s">
        <v>107</v>
      </c>
      <c r="G116" s="23">
        <v>27.1</v>
      </c>
      <c r="H116" s="24" t="s">
        <v>92</v>
      </c>
      <c r="I116" s="24">
        <v>1</v>
      </c>
      <c r="J116" s="38">
        <v>1</v>
      </c>
      <c r="K116" s="23">
        <v>25.8</v>
      </c>
      <c r="L116" s="24" t="s">
        <v>92</v>
      </c>
      <c r="M116" s="24">
        <v>1</v>
      </c>
      <c r="N116" s="38">
        <v>1</v>
      </c>
      <c r="O116" s="23">
        <v>26.450000000000003</v>
      </c>
      <c r="P116" s="24" t="s">
        <v>92</v>
      </c>
      <c r="Q116" s="24">
        <v>1</v>
      </c>
      <c r="R116" s="38">
        <v>1</v>
      </c>
      <c r="S116" s="23">
        <v>26.775000000000002</v>
      </c>
      <c r="T116" s="24" t="s">
        <v>92</v>
      </c>
      <c r="U116" s="24">
        <v>1</v>
      </c>
      <c r="V116" s="38">
        <v>1</v>
      </c>
      <c r="W116" s="23">
        <v>26.9375</v>
      </c>
      <c r="X116" s="24" t="s">
        <v>92</v>
      </c>
      <c r="Y116" s="24">
        <v>1</v>
      </c>
      <c r="Z116" s="38">
        <v>1</v>
      </c>
      <c r="AA116" s="23">
        <f>IFERROR(ROUND(AVERAGE(G116,K116,O116,S116,W116),1),"Erro")</f>
        <v>26.6</v>
      </c>
      <c r="AB116" s="24" t="str">
        <f>H116</f>
        <v>CARRO</v>
      </c>
      <c r="AC116" s="24">
        <f>IFERROR(ROUND(AVERAGE(I116,M116,Q116,U116,Y116),1),"Erro")</f>
        <v>1</v>
      </c>
      <c r="AD116" s="14">
        <f t="shared" si="17"/>
        <v>26.6</v>
      </c>
    </row>
    <row r="117" spans="2:30" outlineLevel="2" x14ac:dyDescent="0.45">
      <c r="B117" s="18" t="s">
        <v>14</v>
      </c>
      <c r="C117" s="18" t="s">
        <v>71</v>
      </c>
      <c r="D117" s="18" t="s">
        <v>103</v>
      </c>
      <c r="E117" s="47" t="s">
        <v>222</v>
      </c>
      <c r="F117" s="31" t="s">
        <v>108</v>
      </c>
      <c r="G117" s="23">
        <v>3.16</v>
      </c>
      <c r="H117" s="24" t="s">
        <v>92</v>
      </c>
      <c r="I117" s="24">
        <v>1</v>
      </c>
      <c r="J117" s="38">
        <v>1</v>
      </c>
      <c r="K117" s="23">
        <v>3.1</v>
      </c>
      <c r="L117" s="24" t="s">
        <v>92</v>
      </c>
      <c r="M117" s="24">
        <v>1</v>
      </c>
      <c r="N117" s="38">
        <v>1</v>
      </c>
      <c r="O117" s="23">
        <v>3.13</v>
      </c>
      <c r="P117" s="24" t="s">
        <v>92</v>
      </c>
      <c r="Q117" s="24">
        <v>1</v>
      </c>
      <c r="R117" s="38">
        <v>1</v>
      </c>
      <c r="S117" s="23">
        <v>3.145</v>
      </c>
      <c r="T117" s="24" t="s">
        <v>92</v>
      </c>
      <c r="U117" s="24">
        <v>1</v>
      </c>
      <c r="V117" s="38">
        <v>1</v>
      </c>
      <c r="W117" s="23">
        <v>3.1524999999999999</v>
      </c>
      <c r="X117" s="24" t="s">
        <v>92</v>
      </c>
      <c r="Y117" s="24">
        <v>1</v>
      </c>
      <c r="Z117" s="38">
        <v>1</v>
      </c>
      <c r="AA117" s="23">
        <f>IFERROR(ROUND(AVERAGE(G117,K117,O117,S117,W117),1),"Erro")</f>
        <v>3.1</v>
      </c>
      <c r="AB117" s="24" t="str">
        <f>H117</f>
        <v>CARRO</v>
      </c>
      <c r="AC117" s="24">
        <f>IFERROR(ROUND(AVERAGE(I117,M117,Q117,U117,Y117),1),"Erro")</f>
        <v>1</v>
      </c>
      <c r="AD117" s="14">
        <f t="shared" si="17"/>
        <v>3.1</v>
      </c>
    </row>
    <row r="118" spans="2:30" outlineLevel="2" x14ac:dyDescent="0.45">
      <c r="B118" s="18" t="s">
        <v>14</v>
      </c>
      <c r="C118" s="18" t="s">
        <v>71</v>
      </c>
      <c r="D118" s="18" t="s">
        <v>103</v>
      </c>
      <c r="E118" s="47" t="s">
        <v>223</v>
      </c>
      <c r="F118" s="31" t="s">
        <v>109</v>
      </c>
      <c r="G118" s="23">
        <v>28.03</v>
      </c>
      <c r="H118" s="24" t="s">
        <v>92</v>
      </c>
      <c r="I118" s="24">
        <v>1</v>
      </c>
      <c r="J118" s="38">
        <v>1</v>
      </c>
      <c r="K118" s="23">
        <v>28.23</v>
      </c>
      <c r="L118" s="24" t="s">
        <v>92</v>
      </c>
      <c r="M118" s="24">
        <v>1</v>
      </c>
      <c r="N118" s="38">
        <v>1</v>
      </c>
      <c r="O118" s="23">
        <v>28.130000000000003</v>
      </c>
      <c r="P118" s="24" t="s">
        <v>92</v>
      </c>
      <c r="Q118" s="24">
        <v>1</v>
      </c>
      <c r="R118" s="38">
        <v>1</v>
      </c>
      <c r="S118" s="23">
        <v>23.08</v>
      </c>
      <c r="T118" s="24" t="s">
        <v>92</v>
      </c>
      <c r="U118" s="24">
        <v>1</v>
      </c>
      <c r="V118" s="38">
        <v>1</v>
      </c>
      <c r="W118" s="23">
        <v>25.055</v>
      </c>
      <c r="X118" s="24" t="s">
        <v>92</v>
      </c>
      <c r="Y118" s="24">
        <v>1</v>
      </c>
      <c r="Z118" s="38">
        <v>1</v>
      </c>
      <c r="AA118" s="23">
        <f>IFERROR(ROUND(AVERAGE(G118,K118,O118,S118,W118),1),"Erro")</f>
        <v>26.5</v>
      </c>
      <c r="AB118" s="24" t="str">
        <f>H118</f>
        <v>CARRO</v>
      </c>
      <c r="AC118" s="24">
        <f>IFERROR(ROUND(AVERAGE(I118,M118,Q118,U118,Y118),1),"Erro")</f>
        <v>1</v>
      </c>
      <c r="AD118" s="14">
        <f t="shared" si="17"/>
        <v>26.5</v>
      </c>
    </row>
    <row r="119" spans="2:30" outlineLevel="2" x14ac:dyDescent="0.45">
      <c r="B119" s="18" t="s">
        <v>14</v>
      </c>
      <c r="C119" s="18" t="s">
        <v>71</v>
      </c>
      <c r="D119" s="18" t="s">
        <v>103</v>
      </c>
      <c r="E119" s="47" t="s">
        <v>224</v>
      </c>
      <c r="F119" s="31" t="s">
        <v>110</v>
      </c>
      <c r="G119" s="23">
        <v>5.88</v>
      </c>
      <c r="H119" s="24" t="s">
        <v>92</v>
      </c>
      <c r="I119" s="24">
        <v>1</v>
      </c>
      <c r="J119" s="38">
        <v>1</v>
      </c>
      <c r="K119" s="23">
        <v>6.1</v>
      </c>
      <c r="L119" s="24" t="s">
        <v>92</v>
      </c>
      <c r="M119" s="24">
        <v>1</v>
      </c>
      <c r="N119" s="38">
        <v>1</v>
      </c>
      <c r="O119" s="23">
        <v>5.99</v>
      </c>
      <c r="P119" s="24" t="s">
        <v>92</v>
      </c>
      <c r="Q119" s="24">
        <v>1</v>
      </c>
      <c r="R119" s="38">
        <v>1</v>
      </c>
      <c r="S119" s="23">
        <v>5.9350000000000005</v>
      </c>
      <c r="T119" s="24" t="s">
        <v>92</v>
      </c>
      <c r="U119" s="24">
        <v>1</v>
      </c>
      <c r="V119" s="38">
        <v>1</v>
      </c>
      <c r="W119" s="23">
        <v>5.9075000000000006</v>
      </c>
      <c r="X119" s="24" t="s">
        <v>92</v>
      </c>
      <c r="Y119" s="24">
        <v>1</v>
      </c>
      <c r="Z119" s="38">
        <v>1</v>
      </c>
      <c r="AA119" s="23">
        <f>IFERROR(ROUND(AVERAGE(G119,K119,O119,S119,W119),1),"Erro")</f>
        <v>6</v>
      </c>
      <c r="AB119" s="24" t="str">
        <f>H119</f>
        <v>CARRO</v>
      </c>
      <c r="AC119" s="24">
        <f>IFERROR(ROUND(AVERAGE(I119,M119,Q119,U119,Y119),1),"Erro")</f>
        <v>1</v>
      </c>
      <c r="AD119" s="14">
        <f t="shared" si="17"/>
        <v>6</v>
      </c>
    </row>
    <row r="120" spans="2:30" outlineLevel="1" x14ac:dyDescent="0.45">
      <c r="B120" s="18" t="s">
        <v>14</v>
      </c>
      <c r="C120" s="18" t="s">
        <v>71</v>
      </c>
      <c r="D120" s="18" t="s">
        <v>103</v>
      </c>
      <c r="E120" s="47">
        <v>18</v>
      </c>
      <c r="F120" s="32" t="s">
        <v>122</v>
      </c>
      <c r="G120" s="13">
        <f>SUM(G121:G125)</f>
        <v>76.41</v>
      </c>
      <c r="H120" s="12" t="str">
        <f>H121</f>
        <v>CARRO</v>
      </c>
      <c r="I120" s="12">
        <f>IFERROR(ROUND(AVERAGE(I121:I125),0),"-")</f>
        <v>1</v>
      </c>
      <c r="J120" s="35">
        <f>IFERROR(ROUND(AVERAGE(J121:J125),0),"-")</f>
        <v>1</v>
      </c>
      <c r="K120" s="13">
        <f>SUM(K121:K125)</f>
        <v>76.75</v>
      </c>
      <c r="L120" s="12" t="str">
        <f>L121</f>
        <v>CARRO</v>
      </c>
      <c r="M120" s="12">
        <f>IFERROR(ROUND(AVERAGE(M121:M125),0),"-")</f>
        <v>1</v>
      </c>
      <c r="N120" s="35">
        <f>IFERROR(ROUND(AVERAGE(N121:N125),0),"-")</f>
        <v>1</v>
      </c>
      <c r="O120" s="13">
        <f>SUM(O121:O125)</f>
        <v>76.58</v>
      </c>
      <c r="P120" s="12" t="str">
        <f>P121</f>
        <v>CARRO</v>
      </c>
      <c r="Q120" s="12">
        <f>IFERROR(ROUND(AVERAGE(Q121:Q125),0),"-")</f>
        <v>1</v>
      </c>
      <c r="R120" s="35">
        <f>IFERROR(ROUND(AVERAGE(R121:R125),0),"-")</f>
        <v>1</v>
      </c>
      <c r="S120" s="13">
        <f>SUM(S121:S125)</f>
        <v>73.664999999999992</v>
      </c>
      <c r="T120" s="12" t="str">
        <f>T121</f>
        <v>CARRO</v>
      </c>
      <c r="U120" s="12">
        <f>IFERROR(ROUND(AVERAGE(U121:U125),0),"-")</f>
        <v>1</v>
      </c>
      <c r="V120" s="35">
        <f>IFERROR(ROUND(AVERAGE(V121:V125),0),"-")</f>
        <v>1</v>
      </c>
      <c r="W120" s="13">
        <f>SUM(W121:W125)</f>
        <v>76.537499999999994</v>
      </c>
      <c r="X120" s="12" t="str">
        <f>X121</f>
        <v>CARRO</v>
      </c>
      <c r="Y120" s="12">
        <f>IFERROR(ROUND(AVERAGE(Y121:Y125),0),"-")</f>
        <v>1</v>
      </c>
      <c r="Z120" s="35">
        <f>IFERROR(ROUND(AVERAGE(Z121:Z125),0),"-")</f>
        <v>1</v>
      </c>
      <c r="AA120" s="30">
        <f>SUM(AA121:AA125)</f>
        <v>75.900000000000006</v>
      </c>
      <c r="AB120" s="35" t="str">
        <f>AB121</f>
        <v>CARRO</v>
      </c>
      <c r="AC120" s="35">
        <f>IFERROR(ROUND(AVERAGE(AC121:AC125),0),"-")</f>
        <v>1</v>
      </c>
      <c r="AD120" s="36">
        <f>SUM(AD121:AD125)</f>
        <v>75.900000000000006</v>
      </c>
    </row>
    <row r="121" spans="2:30" outlineLevel="2" x14ac:dyDescent="0.45">
      <c r="B121" s="18" t="s">
        <v>14</v>
      </c>
      <c r="C121" s="18" t="s">
        <v>71</v>
      </c>
      <c r="D121" s="18" t="s">
        <v>103</v>
      </c>
      <c r="E121" s="47" t="s">
        <v>225</v>
      </c>
      <c r="F121" s="31" t="s">
        <v>123</v>
      </c>
      <c r="G121" s="23">
        <v>47.91</v>
      </c>
      <c r="H121" s="24" t="s">
        <v>92</v>
      </c>
      <c r="I121" s="24">
        <v>1</v>
      </c>
      <c r="J121" s="38">
        <v>1</v>
      </c>
      <c r="K121" s="23">
        <v>43.2</v>
      </c>
      <c r="L121" s="24" t="s">
        <v>92</v>
      </c>
      <c r="M121" s="24">
        <v>1</v>
      </c>
      <c r="N121" s="38">
        <v>1</v>
      </c>
      <c r="O121" s="23">
        <v>45.555</v>
      </c>
      <c r="P121" s="24" t="s">
        <v>92</v>
      </c>
      <c r="Q121" s="24">
        <v>1</v>
      </c>
      <c r="R121" s="38">
        <v>1</v>
      </c>
      <c r="S121" s="23">
        <v>41.377499999999998</v>
      </c>
      <c r="T121" s="24" t="s">
        <v>92</v>
      </c>
      <c r="U121" s="24">
        <v>1</v>
      </c>
      <c r="V121" s="38">
        <v>1</v>
      </c>
      <c r="W121" s="23">
        <v>46.143749999999997</v>
      </c>
      <c r="X121" s="24" t="s">
        <v>92</v>
      </c>
      <c r="Y121" s="24">
        <v>1</v>
      </c>
      <c r="Z121" s="38">
        <v>1</v>
      </c>
      <c r="AA121" s="23">
        <f>IFERROR(ROUND(AVERAGE(G121,K121,O121,S121,W121),1),"Erro")</f>
        <v>44.8</v>
      </c>
      <c r="AB121" s="24" t="str">
        <f>H121</f>
        <v>CARRO</v>
      </c>
      <c r="AC121" s="24">
        <f>IFERROR(ROUND(AVERAGE(I121,M121,Q121,U121,Y121),1),"Erro")</f>
        <v>1</v>
      </c>
      <c r="AD121" s="14">
        <f t="shared" ref="AD121:AD125" si="18">IFERROR(ROUND(AA121/AC121,1),"Erro")</f>
        <v>44.8</v>
      </c>
    </row>
    <row r="122" spans="2:30" outlineLevel="2" x14ac:dyDescent="0.45">
      <c r="B122" s="18" t="s">
        <v>14</v>
      </c>
      <c r="C122" s="18" t="s">
        <v>71</v>
      </c>
      <c r="D122" s="18" t="s">
        <v>103</v>
      </c>
      <c r="E122" s="47" t="s">
        <v>226</v>
      </c>
      <c r="F122" s="31" t="s">
        <v>111</v>
      </c>
      <c r="G122" s="23">
        <v>9.1</v>
      </c>
      <c r="H122" s="24" t="s">
        <v>92</v>
      </c>
      <c r="I122" s="24">
        <v>1</v>
      </c>
      <c r="J122" s="38">
        <v>1</v>
      </c>
      <c r="K122" s="23">
        <v>11.25</v>
      </c>
      <c r="L122" s="24" t="s">
        <v>92</v>
      </c>
      <c r="M122" s="24">
        <v>1</v>
      </c>
      <c r="N122" s="38">
        <v>1</v>
      </c>
      <c r="O122" s="23">
        <v>10.175000000000001</v>
      </c>
      <c r="P122" s="24" t="s">
        <v>92</v>
      </c>
      <c r="Q122" s="24">
        <v>1</v>
      </c>
      <c r="R122" s="38">
        <v>1</v>
      </c>
      <c r="S122" s="23">
        <v>10.7125</v>
      </c>
      <c r="T122" s="24" t="s">
        <v>92</v>
      </c>
      <c r="U122" s="24">
        <v>1</v>
      </c>
      <c r="V122" s="38">
        <v>1</v>
      </c>
      <c r="W122" s="23">
        <v>9.90625</v>
      </c>
      <c r="X122" s="24" t="s">
        <v>92</v>
      </c>
      <c r="Y122" s="24">
        <v>1</v>
      </c>
      <c r="Z122" s="38">
        <v>1</v>
      </c>
      <c r="AA122" s="23">
        <f>IFERROR(ROUND(AVERAGE(G122,K122,O122,S122,W122),1),"Erro")</f>
        <v>10.199999999999999</v>
      </c>
      <c r="AB122" s="24" t="str">
        <f>H122</f>
        <v>CARRO</v>
      </c>
      <c r="AC122" s="24">
        <f>IFERROR(ROUND(AVERAGE(I122,M122,Q122,U122,Y122),1),"Erro")</f>
        <v>1</v>
      </c>
      <c r="AD122" s="14">
        <f t="shared" si="18"/>
        <v>10.199999999999999</v>
      </c>
    </row>
    <row r="123" spans="2:30" outlineLevel="2" x14ac:dyDescent="0.45">
      <c r="B123" s="18" t="s">
        <v>14</v>
      </c>
      <c r="C123" s="18" t="s">
        <v>71</v>
      </c>
      <c r="D123" s="18" t="s">
        <v>103</v>
      </c>
      <c r="E123" s="47" t="s">
        <v>227</v>
      </c>
      <c r="F123" s="31" t="s">
        <v>112</v>
      </c>
      <c r="G123" s="23">
        <v>2.1</v>
      </c>
      <c r="H123" s="24" t="s">
        <v>92</v>
      </c>
      <c r="I123" s="24">
        <v>1</v>
      </c>
      <c r="J123" s="38">
        <v>1</v>
      </c>
      <c r="K123" s="23">
        <v>3.5</v>
      </c>
      <c r="L123" s="24" t="s">
        <v>92</v>
      </c>
      <c r="M123" s="24">
        <v>1</v>
      </c>
      <c r="N123" s="38">
        <v>1</v>
      </c>
      <c r="O123" s="23">
        <v>2.8</v>
      </c>
      <c r="P123" s="24" t="s">
        <v>92</v>
      </c>
      <c r="Q123" s="24">
        <v>1</v>
      </c>
      <c r="R123" s="38">
        <v>1</v>
      </c>
      <c r="S123" s="23">
        <v>3.15</v>
      </c>
      <c r="T123" s="24" t="s">
        <v>92</v>
      </c>
      <c r="U123" s="24">
        <v>1</v>
      </c>
      <c r="V123" s="38">
        <v>1</v>
      </c>
      <c r="W123" s="23">
        <v>2.625</v>
      </c>
      <c r="X123" s="24" t="s">
        <v>92</v>
      </c>
      <c r="Y123" s="24">
        <v>1</v>
      </c>
      <c r="Z123" s="38">
        <v>1</v>
      </c>
      <c r="AA123" s="23">
        <f>IFERROR(ROUND(AVERAGE(G123,K123,O123,S123,W123),1),"Erro")</f>
        <v>2.8</v>
      </c>
      <c r="AB123" s="24" t="str">
        <f>H123</f>
        <v>CARRO</v>
      </c>
      <c r="AC123" s="24">
        <f>IFERROR(ROUND(AVERAGE(I123,M123,Q123,U123,Y123),1),"Erro")</f>
        <v>1</v>
      </c>
      <c r="AD123" s="14">
        <f t="shared" si="18"/>
        <v>2.8</v>
      </c>
    </row>
    <row r="124" spans="2:30" outlineLevel="2" x14ac:dyDescent="0.45">
      <c r="B124" s="18" t="s">
        <v>14</v>
      </c>
      <c r="C124" s="18" t="s">
        <v>71</v>
      </c>
      <c r="D124" s="18" t="s">
        <v>103</v>
      </c>
      <c r="E124" s="47" t="s">
        <v>228</v>
      </c>
      <c r="F124" s="31" t="s">
        <v>113</v>
      </c>
      <c r="G124" s="40">
        <v>2.1</v>
      </c>
      <c r="H124" s="24" t="s">
        <v>92</v>
      </c>
      <c r="I124" s="24">
        <v>1</v>
      </c>
      <c r="J124" s="38">
        <v>1</v>
      </c>
      <c r="K124" s="23">
        <v>1.9</v>
      </c>
      <c r="L124" s="24" t="s">
        <v>92</v>
      </c>
      <c r="M124" s="24">
        <v>1</v>
      </c>
      <c r="N124" s="38">
        <v>1</v>
      </c>
      <c r="O124" s="23">
        <v>2</v>
      </c>
      <c r="P124" s="24" t="s">
        <v>92</v>
      </c>
      <c r="Q124" s="24">
        <v>1</v>
      </c>
      <c r="R124" s="38">
        <v>1</v>
      </c>
      <c r="S124" s="23">
        <v>1.95</v>
      </c>
      <c r="T124" s="24" t="s">
        <v>92</v>
      </c>
      <c r="U124" s="24">
        <v>1</v>
      </c>
      <c r="V124" s="38">
        <v>1</v>
      </c>
      <c r="W124" s="23">
        <v>2.0249999999999999</v>
      </c>
      <c r="X124" s="24" t="s">
        <v>92</v>
      </c>
      <c r="Y124" s="24">
        <v>1</v>
      </c>
      <c r="Z124" s="38">
        <v>1</v>
      </c>
      <c r="AA124" s="37">
        <f>IFERROR(ROUND(AVERAGE(G124,K124,O124,S124,W124),1),"Erro")</f>
        <v>2</v>
      </c>
      <c r="AB124" s="38" t="str">
        <f>H124</f>
        <v>CARRO</v>
      </c>
      <c r="AC124" s="38">
        <f>IFERROR(ROUND(AVERAGE(I124,M124,Q124,U124,Y124),1),"Erro")</f>
        <v>1</v>
      </c>
      <c r="AD124" s="39">
        <f t="shared" si="18"/>
        <v>2</v>
      </c>
    </row>
    <row r="125" spans="2:30" outlineLevel="2" x14ac:dyDescent="0.25">
      <c r="B125" s="18" t="s">
        <v>14</v>
      </c>
      <c r="C125" s="18" t="s">
        <v>71</v>
      </c>
      <c r="D125" s="18" t="s">
        <v>103</v>
      </c>
      <c r="E125" s="47" t="s">
        <v>229</v>
      </c>
      <c r="F125" s="26" t="s">
        <v>121</v>
      </c>
      <c r="G125" s="23">
        <v>15.2</v>
      </c>
      <c r="H125" s="24" t="s">
        <v>92</v>
      </c>
      <c r="I125" s="24">
        <v>1</v>
      </c>
      <c r="J125" s="38">
        <v>1</v>
      </c>
      <c r="K125" s="23">
        <v>16.899999999999999</v>
      </c>
      <c r="L125" s="24" t="s">
        <v>92</v>
      </c>
      <c r="M125" s="24">
        <v>1</v>
      </c>
      <c r="N125" s="38">
        <v>1</v>
      </c>
      <c r="O125" s="23">
        <v>16.049999999999997</v>
      </c>
      <c r="P125" s="24" t="s">
        <v>92</v>
      </c>
      <c r="Q125" s="24">
        <v>1</v>
      </c>
      <c r="R125" s="38">
        <v>1</v>
      </c>
      <c r="S125" s="23">
        <v>16.474999999999998</v>
      </c>
      <c r="T125" s="24" t="s">
        <v>92</v>
      </c>
      <c r="U125" s="24">
        <v>1</v>
      </c>
      <c r="V125" s="38">
        <v>1</v>
      </c>
      <c r="W125" s="23">
        <v>15.837499999999999</v>
      </c>
      <c r="X125" s="24" t="s">
        <v>92</v>
      </c>
      <c r="Y125" s="24">
        <v>1</v>
      </c>
      <c r="Z125" s="38">
        <v>1</v>
      </c>
      <c r="AA125" s="23">
        <f>IFERROR(ROUND(AVERAGE(G125,K125,O125,S125,W125),1),"Erro")</f>
        <v>16.100000000000001</v>
      </c>
      <c r="AB125" s="24" t="str">
        <f>H125</f>
        <v>CARRO</v>
      </c>
      <c r="AC125" s="24">
        <f>IFERROR(ROUND(AVERAGE(I125,M125,Q125,U125,Y125),1),"Erro")</f>
        <v>1</v>
      </c>
      <c r="AD125" s="14">
        <f t="shared" si="18"/>
        <v>16.100000000000001</v>
      </c>
    </row>
  </sheetData>
  <sheetProtection formatColumns="0" formatRows="0" insertColumns="0" insertRows="0" insertHyperlinks="0" deleteColumns="0" deleteRows="0" sort="0" autoFilter="0" pivotTables="0"/>
  <autoFilter ref="B4:AD125" xr:uid="{00000000-0001-0000-0000-000000000000}"/>
  <dataConsolidate/>
  <mergeCells count="6">
    <mergeCell ref="AA3:AD3"/>
    <mergeCell ref="W3:Z3"/>
    <mergeCell ref="S3:V3"/>
    <mergeCell ref="O3:R3"/>
    <mergeCell ref="K3:N3"/>
    <mergeCell ref="G3:J3"/>
  </mergeCells>
  <phoneticPr fontId="14" type="noConversion"/>
  <hyperlinks>
    <hyperlink ref="F5" location="Fluxo!A1" display="Atendimento de KD's da área de Carros" xr:uid="{9BA9C967-B552-47CA-AA94-C16BA2146433}"/>
  </hyperlinks>
  <pageMargins left="0.25" right="0.25" top="0.75" bottom="0.75" header="0.3" footer="0.3"/>
  <pageSetup paperSize="11" scale="10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668181-A9DF-430A-AF42-754AD0F37DCE}">
  <dimension ref="B3:F5"/>
  <sheetViews>
    <sheetView showGridLines="0" workbookViewId="0">
      <selection activeCell="D14" sqref="D14"/>
    </sheetView>
  </sheetViews>
  <sheetFormatPr defaultRowHeight="15" x14ac:dyDescent="0.25"/>
  <cols>
    <col min="2" max="2" width="4.85546875" customWidth="1"/>
    <col min="3" max="3" width="12.28515625" bestFit="1" customWidth="1"/>
    <col min="4" max="4" width="3.42578125" customWidth="1"/>
    <col min="5" max="5" width="4.85546875" customWidth="1"/>
  </cols>
  <sheetData>
    <row r="3" spans="2:6" ht="18.75" x14ac:dyDescent="0.45">
      <c r="B3" s="1"/>
      <c r="C3" t="s">
        <v>114</v>
      </c>
      <c r="E3" s="8"/>
      <c r="F3" t="s">
        <v>115</v>
      </c>
    </row>
    <row r="4" spans="2:6" ht="18.75" x14ac:dyDescent="0.45">
      <c r="B4" s="6"/>
      <c r="C4" t="s">
        <v>116</v>
      </c>
      <c r="E4" s="5"/>
      <c r="F4" t="s">
        <v>117</v>
      </c>
    </row>
    <row r="5" spans="2:6" ht="18.75" x14ac:dyDescent="0.45">
      <c r="B5" s="7"/>
      <c r="C5" t="s">
        <v>118</v>
      </c>
    </row>
  </sheetData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69b312c-6257-4dc8-81f4-dbf4e4e23275" xsi:nil="true"/>
    <lcf76f155ced4ddcb4097134ff3c332f xmlns="61c75b11-d9ac-4f60-8b21-82358e096d31">
      <Terms xmlns="http://schemas.microsoft.com/office/infopath/2007/PartnerControls"/>
    </lcf76f155ced4ddcb4097134ff3c332f>
    <a570f1ba9bcf48c18a5f189e6c5e874b xmlns="61c75b11-d9ac-4f60-8b21-82358e096d31">
      <Terms xmlns="http://schemas.microsoft.com/office/infopath/2007/PartnerControls"/>
    </a570f1ba9bcf48c18a5f189e6c5e874b>
    <Local xmlns="61c75b11-d9ac-4f60-8b21-82358e096d31">
      <Url xsi:nil="true"/>
      <Description xsi:nil="true"/>
    </Local>
    <_Flow_SignoffStatus xmlns="61c75b11-d9ac-4f60-8b21-82358e096d31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C7A1FDAB570E44BB664F113A3B8FB76" ma:contentTypeVersion="20" ma:contentTypeDescription="Crie um novo documento." ma:contentTypeScope="" ma:versionID="7469255688014edf94c65df83cf15590">
  <xsd:schema xmlns:xsd="http://www.w3.org/2001/XMLSchema" xmlns:xs="http://www.w3.org/2001/XMLSchema" xmlns:p="http://schemas.microsoft.com/office/2006/metadata/properties" xmlns:ns2="61c75b11-d9ac-4f60-8b21-82358e096d31" xmlns:ns3="669b312c-6257-4dc8-81f4-dbf4e4e23275" targetNamespace="http://schemas.microsoft.com/office/2006/metadata/properties" ma:root="true" ma:fieldsID="5a3445f8703cd46568d0023cb2ccb9fb" ns2:_="" ns3:_="">
    <xsd:import namespace="61c75b11-d9ac-4f60-8b21-82358e096d31"/>
    <xsd:import namespace="669b312c-6257-4dc8-81f4-dbf4e4e232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SearchProperties" minOccurs="0"/>
                <xsd:element ref="ns2:Local" minOccurs="0"/>
                <xsd:element ref="ns2:_Flow_SignoffStatus" minOccurs="0"/>
                <xsd:element ref="ns2:a570f1ba9bcf48c18a5f189e6c5e874b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c75b11-d9ac-4f60-8b21-82358e096d3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Marcações de imagem" ma:readOnly="false" ma:fieldId="{5cf76f15-5ced-4ddc-b409-7134ff3c332f}" ma:taxonomyMulti="true" ma:sspId="3427ac2b-0bfa-4654-8e14-cbb8c448e8e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ocal" ma:index="23" nillable="true" ma:displayName="Local" ma:format="Hyperlink" ma:internalName="Local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Flow_SignoffStatus" ma:index="24" nillable="true" ma:displayName="Status de liberação" ma:internalName="Status_x0020_de_x0020_libera_x00e7__x00e3_o">
      <xsd:simpleType>
        <xsd:restriction base="dms:Text"/>
      </xsd:simpleType>
    </xsd:element>
    <xsd:element name="a570f1ba9bcf48c18a5f189e6c5e874b" ma:index="26" nillable="true" ma:taxonomy="true" ma:internalName="a570f1ba9bcf48c18a5f189e6c5e874b" ma:taxonomyFieldName="It" ma:displayName="It" ma:default="" ma:fieldId="{a570f1ba-9bcf-48c1-8a5f-189e6c5e874b}" ma:sspId="3427ac2b-0bfa-4654-8e14-cbb8c448e8e7" ma:termSetId="b49f64b3-4722-4336-9a5c-56c326b344d4" ma:anchorId="00000000-0000-0000-0000-000000000000" ma:open="true" ma:isKeyword="false">
      <xsd:complexType>
        <xsd:sequence>
          <xsd:element ref="pc:Terms" minOccurs="0" maxOccurs="1"/>
        </xsd:sequence>
      </xsd:complex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69b312c-6257-4dc8-81f4-dbf4e4e23275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a4ed77e7-e835-46b1-8934-a78cf779eef8}" ma:internalName="TaxCatchAll" ma:showField="CatchAllData" ma:web="669b312c-6257-4dc8-81f4-dbf4e4e232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2AB1D84-336E-4317-AF29-AC575681FC6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E5B447E-7455-4AA4-A657-1FE7A7793EFB}">
  <ds:schemaRefs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purl.org/dc/terms/"/>
    <ds:schemaRef ds:uri="http://purl.org/dc/elements/1.1/"/>
    <ds:schemaRef ds:uri="http://schemas.openxmlformats.org/package/2006/metadata/core-properties"/>
    <ds:schemaRef ds:uri="669b312c-6257-4dc8-81f4-dbf4e4e23275"/>
    <ds:schemaRef ds:uri="61c75b11-d9ac-4f60-8b21-82358e096d31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47EA7838-AA79-4F1B-B9DB-98182CADC68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1c75b11-d9ac-4f60-8b21-82358e096d31"/>
    <ds:schemaRef ds:uri="669b312c-6257-4dc8-81f4-dbf4e4e2327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Mapeamento</vt:lpstr>
      <vt:lpstr>legenda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Lucas Da Silva Costa</dc:creator>
  <cp:keywords/>
  <dc:description/>
  <cp:lastModifiedBy>Reldery Wesley Assuncao</cp:lastModifiedBy>
  <cp:revision/>
  <cp:lastPrinted>2026-04-16T12:30:13Z</cp:lastPrinted>
  <dcterms:created xsi:type="dcterms:W3CDTF">2015-06-05T18:19:34Z</dcterms:created>
  <dcterms:modified xsi:type="dcterms:W3CDTF">2026-04-27T00:40:00Z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0x0101008C7A1FDAB570E44BB664F113A3B8FB76</vt:lpwstr>
  </property>
  <property fmtid="{D5CDD505-2E9C-101B-9397-08002B2CF9AE}" pid="3" name="MediaServiceImageTags">
    <vt:lpwstr/>
  </property>
  <property fmtid="{D5CDD505-2E9C-101B-9397-08002B2CF9AE}" pid="4" name="It">
    <vt:lpwstr/>
  </property>
</Properties>
</file>